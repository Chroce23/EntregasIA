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4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xr:revisionPtr revIDLastSave="0" documentId="8_{25D14D74-C91A-4012-B17F-8FE5556C8A7D}" xr6:coauthVersionLast="47" xr6:coauthVersionMax="47" xr10:uidLastSave="{00000000-0000-0000-0000-000000000000}"/>
  <bookViews>
    <workbookView xWindow="-120" yWindow="-120" windowWidth="20730" windowHeight="11040" xr2:uid="{D155E99F-C4BD-4A61-860C-562E61CA724D}"/>
  </bookViews>
  <sheets>
    <sheet name="Iris-Data (1)" sheetId="1" r:id="rId1"/>
    <sheet name="Iris-Data (2)" sheetId="3" r:id="rId2"/>
    <sheet name="Iris-Data (3)" sheetId="5" r:id="rId3"/>
    <sheet name="Iris-Data (4)" sheetId="6" r:id="rId4"/>
    <sheet name="Iris-Data (5)" sheetId="7" r:id="rId5"/>
    <sheet name="Iris-Data (6)" sheetId="8" r:id="rId6"/>
    <sheet name="Iris-Data (7)" sheetId="9" r:id="rId7"/>
    <sheet name="Iris-Data (8)" sheetId="10" r:id="rId8"/>
    <sheet name="Iris-Data (9)" sheetId="11" r:id="rId9"/>
    <sheet name="Iris-Data (10)" sheetId="12" r:id="rId10"/>
    <sheet name="Iris-Data (11)" sheetId="14" r:id="rId11"/>
    <sheet name="Iris-Data (12)" sheetId="15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1" i="6" l="1"/>
  <c r="I151" i="6"/>
  <c r="H151" i="6"/>
  <c r="G151" i="6"/>
  <c r="J150" i="6"/>
  <c r="I150" i="6"/>
  <c r="H150" i="6"/>
  <c r="G150" i="6"/>
  <c r="J149" i="6"/>
  <c r="I149" i="6"/>
  <c r="H149" i="6"/>
  <c r="G149" i="6"/>
  <c r="J148" i="6"/>
  <c r="I148" i="6"/>
  <c r="H148" i="6"/>
  <c r="G148" i="6"/>
  <c r="J147" i="6"/>
  <c r="I147" i="6"/>
  <c r="H147" i="6"/>
  <c r="G147" i="6"/>
  <c r="J146" i="6"/>
  <c r="I146" i="6"/>
  <c r="H146" i="6"/>
  <c r="G146" i="6"/>
  <c r="J145" i="6"/>
  <c r="I145" i="6"/>
  <c r="H145" i="6"/>
  <c r="G145" i="6"/>
  <c r="J144" i="6"/>
  <c r="I144" i="6"/>
  <c r="H144" i="6"/>
  <c r="G144" i="6"/>
  <c r="J143" i="6"/>
  <c r="I143" i="6"/>
  <c r="H143" i="6"/>
  <c r="G143" i="6"/>
  <c r="J142" i="6"/>
  <c r="I142" i="6"/>
  <c r="H142" i="6"/>
  <c r="G142" i="6"/>
  <c r="J141" i="6"/>
  <c r="I141" i="6"/>
  <c r="H141" i="6"/>
  <c r="G141" i="6"/>
  <c r="J140" i="6"/>
  <c r="I140" i="6"/>
  <c r="H140" i="6"/>
  <c r="G140" i="6"/>
  <c r="J139" i="6"/>
  <c r="I139" i="6"/>
  <c r="H139" i="6"/>
  <c r="G139" i="6"/>
  <c r="J138" i="6"/>
  <c r="I138" i="6"/>
  <c r="H138" i="6"/>
  <c r="G138" i="6"/>
  <c r="J137" i="6"/>
  <c r="I137" i="6"/>
  <c r="H137" i="6"/>
  <c r="G137" i="6"/>
  <c r="J136" i="6"/>
  <c r="I136" i="6"/>
  <c r="H136" i="6"/>
  <c r="G136" i="6"/>
  <c r="J135" i="6"/>
  <c r="I135" i="6"/>
  <c r="H135" i="6"/>
  <c r="G135" i="6"/>
  <c r="J134" i="6"/>
  <c r="I134" i="6"/>
  <c r="H134" i="6"/>
  <c r="G134" i="6"/>
  <c r="J133" i="6"/>
  <c r="I133" i="6"/>
  <c r="H133" i="6"/>
  <c r="G133" i="6"/>
  <c r="J132" i="6"/>
  <c r="I132" i="6"/>
  <c r="H132" i="6"/>
  <c r="G132" i="6"/>
  <c r="J131" i="6"/>
  <c r="I131" i="6"/>
  <c r="H131" i="6"/>
  <c r="G131" i="6"/>
  <c r="J130" i="6"/>
  <c r="I130" i="6"/>
  <c r="H130" i="6"/>
  <c r="G130" i="6"/>
  <c r="J129" i="6"/>
  <c r="I129" i="6"/>
  <c r="H129" i="6"/>
  <c r="G129" i="6"/>
  <c r="J128" i="6"/>
  <c r="I128" i="6"/>
  <c r="H128" i="6"/>
  <c r="G128" i="6"/>
  <c r="J127" i="6"/>
  <c r="I127" i="6"/>
  <c r="H127" i="6"/>
  <c r="G127" i="6"/>
  <c r="J126" i="6"/>
  <c r="I126" i="6"/>
  <c r="H126" i="6"/>
  <c r="G126" i="6"/>
  <c r="J125" i="6"/>
  <c r="I125" i="6"/>
  <c r="H125" i="6"/>
  <c r="G125" i="6"/>
  <c r="J124" i="6"/>
  <c r="I124" i="6"/>
  <c r="H124" i="6"/>
  <c r="G124" i="6"/>
  <c r="J123" i="6"/>
  <c r="I123" i="6"/>
  <c r="H123" i="6"/>
  <c r="G123" i="6"/>
  <c r="J122" i="6"/>
  <c r="I122" i="6"/>
  <c r="H122" i="6"/>
  <c r="G122" i="6"/>
  <c r="J121" i="6"/>
  <c r="I121" i="6"/>
  <c r="H121" i="6"/>
  <c r="G121" i="6"/>
  <c r="J120" i="6"/>
  <c r="I120" i="6"/>
  <c r="H120" i="6"/>
  <c r="G120" i="6"/>
  <c r="J119" i="6"/>
  <c r="I119" i="6"/>
  <c r="H119" i="6"/>
  <c r="G119" i="6"/>
  <c r="J118" i="6"/>
  <c r="I118" i="6"/>
  <c r="H118" i="6"/>
  <c r="G118" i="6"/>
  <c r="J117" i="6"/>
  <c r="I117" i="6"/>
  <c r="H117" i="6"/>
  <c r="G117" i="6"/>
  <c r="J116" i="6"/>
  <c r="I116" i="6"/>
  <c r="H116" i="6"/>
  <c r="G116" i="6"/>
  <c r="J115" i="6"/>
  <c r="I115" i="6"/>
  <c r="H115" i="6"/>
  <c r="G115" i="6"/>
  <c r="J114" i="6"/>
  <c r="I114" i="6"/>
  <c r="H114" i="6"/>
  <c r="G114" i="6"/>
  <c r="J113" i="6"/>
  <c r="I113" i="6"/>
  <c r="H113" i="6"/>
  <c r="G113" i="6"/>
  <c r="J112" i="6"/>
  <c r="I112" i="6"/>
  <c r="H112" i="6"/>
  <c r="G112" i="6"/>
  <c r="J111" i="6"/>
  <c r="I111" i="6"/>
  <c r="H111" i="6"/>
  <c r="G111" i="6"/>
  <c r="J110" i="6"/>
  <c r="I110" i="6"/>
  <c r="H110" i="6"/>
  <c r="G110" i="6"/>
  <c r="J109" i="6"/>
  <c r="I109" i="6"/>
  <c r="H109" i="6"/>
  <c r="G109" i="6"/>
  <c r="J108" i="6"/>
  <c r="I108" i="6"/>
  <c r="H108" i="6"/>
  <c r="G108" i="6"/>
  <c r="J107" i="6"/>
  <c r="I107" i="6"/>
  <c r="H107" i="6"/>
  <c r="G107" i="6"/>
  <c r="J106" i="6"/>
  <c r="I106" i="6"/>
  <c r="H106" i="6"/>
  <c r="G106" i="6"/>
  <c r="J105" i="6"/>
  <c r="I105" i="6"/>
  <c r="H105" i="6"/>
  <c r="G105" i="6"/>
  <c r="J104" i="6"/>
  <c r="I104" i="6"/>
  <c r="H104" i="6"/>
  <c r="G104" i="6"/>
  <c r="J103" i="6"/>
  <c r="I103" i="6"/>
  <c r="H103" i="6"/>
  <c r="G103" i="6"/>
  <c r="J102" i="6"/>
  <c r="I102" i="6"/>
  <c r="H102" i="6"/>
  <c r="G102" i="6"/>
  <c r="J101" i="6"/>
  <c r="I101" i="6"/>
  <c r="H101" i="6"/>
  <c r="G101" i="6"/>
  <c r="J100" i="6"/>
  <c r="I100" i="6"/>
  <c r="H100" i="6"/>
  <c r="G100" i="6"/>
  <c r="J99" i="6"/>
  <c r="I99" i="6"/>
  <c r="H99" i="6"/>
  <c r="G99" i="6"/>
  <c r="J98" i="6"/>
  <c r="I98" i="6"/>
  <c r="H98" i="6"/>
  <c r="G98" i="6"/>
  <c r="J97" i="6"/>
  <c r="I97" i="6"/>
  <c r="H97" i="6"/>
  <c r="G97" i="6"/>
  <c r="J96" i="6"/>
  <c r="I96" i="6"/>
  <c r="H96" i="6"/>
  <c r="G96" i="6"/>
  <c r="J95" i="6"/>
  <c r="I95" i="6"/>
  <c r="H95" i="6"/>
  <c r="G95" i="6"/>
  <c r="J94" i="6"/>
  <c r="I94" i="6"/>
  <c r="H94" i="6"/>
  <c r="G94" i="6"/>
  <c r="J93" i="6"/>
  <c r="I93" i="6"/>
  <c r="H93" i="6"/>
  <c r="G93" i="6"/>
  <c r="J92" i="6"/>
  <c r="I92" i="6"/>
  <c r="H92" i="6"/>
  <c r="G92" i="6"/>
  <c r="J91" i="6"/>
  <c r="I91" i="6"/>
  <c r="H91" i="6"/>
  <c r="G91" i="6"/>
  <c r="J90" i="6"/>
  <c r="I90" i="6"/>
  <c r="H90" i="6"/>
  <c r="G90" i="6"/>
  <c r="J89" i="6"/>
  <c r="I89" i="6"/>
  <c r="H89" i="6"/>
  <c r="G89" i="6"/>
  <c r="J88" i="6"/>
  <c r="I88" i="6"/>
  <c r="H88" i="6"/>
  <c r="G88" i="6"/>
  <c r="J87" i="6"/>
  <c r="I87" i="6"/>
  <c r="H87" i="6"/>
  <c r="G87" i="6"/>
  <c r="J86" i="6"/>
  <c r="I86" i="6"/>
  <c r="H86" i="6"/>
  <c r="G86" i="6"/>
  <c r="J85" i="6"/>
  <c r="I85" i="6"/>
  <c r="H85" i="6"/>
  <c r="G85" i="6"/>
  <c r="J84" i="6"/>
  <c r="I84" i="6"/>
  <c r="H84" i="6"/>
  <c r="G84" i="6"/>
  <c r="J83" i="6"/>
  <c r="I83" i="6"/>
  <c r="H83" i="6"/>
  <c r="G83" i="6"/>
  <c r="J82" i="6"/>
  <c r="I82" i="6"/>
  <c r="H82" i="6"/>
  <c r="G82" i="6"/>
  <c r="J81" i="6"/>
  <c r="I81" i="6"/>
  <c r="H81" i="6"/>
  <c r="G81" i="6"/>
  <c r="J80" i="6"/>
  <c r="I80" i="6"/>
  <c r="H80" i="6"/>
  <c r="G80" i="6"/>
  <c r="J79" i="6"/>
  <c r="I79" i="6"/>
  <c r="H79" i="6"/>
  <c r="G79" i="6"/>
  <c r="J78" i="6"/>
  <c r="I78" i="6"/>
  <c r="H78" i="6"/>
  <c r="G78" i="6"/>
  <c r="J77" i="6"/>
  <c r="I77" i="6"/>
  <c r="H77" i="6"/>
  <c r="G77" i="6"/>
  <c r="J76" i="6"/>
  <c r="I76" i="6"/>
  <c r="H76" i="6"/>
  <c r="G76" i="6"/>
  <c r="J75" i="6"/>
  <c r="I75" i="6"/>
  <c r="H75" i="6"/>
  <c r="G75" i="6"/>
  <c r="J74" i="6"/>
  <c r="I74" i="6"/>
  <c r="H74" i="6"/>
  <c r="G74" i="6"/>
  <c r="J73" i="6"/>
  <c r="I73" i="6"/>
  <c r="H73" i="6"/>
  <c r="G73" i="6"/>
  <c r="J72" i="6"/>
  <c r="I72" i="6"/>
  <c r="H72" i="6"/>
  <c r="G72" i="6"/>
  <c r="J71" i="6"/>
  <c r="I71" i="6"/>
  <c r="H71" i="6"/>
  <c r="G71" i="6"/>
  <c r="J70" i="6"/>
  <c r="I70" i="6"/>
  <c r="H70" i="6"/>
  <c r="G70" i="6"/>
  <c r="J69" i="6"/>
  <c r="I69" i="6"/>
  <c r="H69" i="6"/>
  <c r="G69" i="6"/>
  <c r="J68" i="6"/>
  <c r="I68" i="6"/>
  <c r="H68" i="6"/>
  <c r="G68" i="6"/>
  <c r="J67" i="6"/>
  <c r="I67" i="6"/>
  <c r="H67" i="6"/>
  <c r="G67" i="6"/>
  <c r="J66" i="6"/>
  <c r="I66" i="6"/>
  <c r="H66" i="6"/>
  <c r="G66" i="6"/>
  <c r="J65" i="6"/>
  <c r="I65" i="6"/>
  <c r="H65" i="6"/>
  <c r="G65" i="6"/>
  <c r="J64" i="6"/>
  <c r="I64" i="6"/>
  <c r="H64" i="6"/>
  <c r="G64" i="6"/>
  <c r="J63" i="6"/>
  <c r="I63" i="6"/>
  <c r="H63" i="6"/>
  <c r="G63" i="6"/>
  <c r="J62" i="6"/>
  <c r="I62" i="6"/>
  <c r="H62" i="6"/>
  <c r="G62" i="6"/>
  <c r="J61" i="6"/>
  <c r="I61" i="6"/>
  <c r="H61" i="6"/>
  <c r="G61" i="6"/>
  <c r="J60" i="6"/>
  <c r="I60" i="6"/>
  <c r="H60" i="6"/>
  <c r="G60" i="6"/>
  <c r="J59" i="6"/>
  <c r="I59" i="6"/>
  <c r="H59" i="6"/>
  <c r="G59" i="6"/>
  <c r="J58" i="6"/>
  <c r="I58" i="6"/>
  <c r="H58" i="6"/>
  <c r="G58" i="6"/>
  <c r="J57" i="6"/>
  <c r="I57" i="6"/>
  <c r="H57" i="6"/>
  <c r="G57" i="6"/>
  <c r="J56" i="6"/>
  <c r="I56" i="6"/>
  <c r="H56" i="6"/>
  <c r="G56" i="6"/>
  <c r="J55" i="6"/>
  <c r="I55" i="6"/>
  <c r="H55" i="6"/>
  <c r="G55" i="6"/>
  <c r="J54" i="6"/>
  <c r="I54" i="6"/>
  <c r="H54" i="6"/>
  <c r="G54" i="6"/>
  <c r="J53" i="6"/>
  <c r="I53" i="6"/>
  <c r="H53" i="6"/>
  <c r="G53" i="6"/>
  <c r="J52" i="6"/>
  <c r="I52" i="6"/>
  <c r="H52" i="6"/>
  <c r="G52" i="6"/>
  <c r="J51" i="6"/>
  <c r="I51" i="6"/>
  <c r="H51" i="6"/>
  <c r="G51" i="6"/>
  <c r="J50" i="6"/>
  <c r="I50" i="6"/>
  <c r="H50" i="6"/>
  <c r="G50" i="6"/>
  <c r="J49" i="6"/>
  <c r="I49" i="6"/>
  <c r="H49" i="6"/>
  <c r="G49" i="6"/>
  <c r="J48" i="6"/>
  <c r="I48" i="6"/>
  <c r="H48" i="6"/>
  <c r="G48" i="6"/>
  <c r="J47" i="6"/>
  <c r="I47" i="6"/>
  <c r="H47" i="6"/>
  <c r="G47" i="6"/>
  <c r="J46" i="6"/>
  <c r="I46" i="6"/>
  <c r="H46" i="6"/>
  <c r="G46" i="6"/>
  <c r="J45" i="6"/>
  <c r="I45" i="6"/>
  <c r="H45" i="6"/>
  <c r="G45" i="6"/>
  <c r="J44" i="6"/>
  <c r="I44" i="6"/>
  <c r="H44" i="6"/>
  <c r="G44" i="6"/>
  <c r="J43" i="6"/>
  <c r="I43" i="6"/>
  <c r="H43" i="6"/>
  <c r="G43" i="6"/>
  <c r="J42" i="6"/>
  <c r="I42" i="6"/>
  <c r="H42" i="6"/>
  <c r="G42" i="6"/>
  <c r="J41" i="6"/>
  <c r="I41" i="6"/>
  <c r="H41" i="6"/>
  <c r="G41" i="6"/>
  <c r="J40" i="6"/>
  <c r="I40" i="6"/>
  <c r="H40" i="6"/>
  <c r="G40" i="6"/>
  <c r="J39" i="6"/>
  <c r="I39" i="6"/>
  <c r="H39" i="6"/>
  <c r="G39" i="6"/>
  <c r="J38" i="6"/>
  <c r="I38" i="6"/>
  <c r="H38" i="6"/>
  <c r="G38" i="6"/>
  <c r="J37" i="6"/>
  <c r="I37" i="6"/>
  <c r="H37" i="6"/>
  <c r="G37" i="6"/>
  <c r="J36" i="6"/>
  <c r="I36" i="6"/>
  <c r="H36" i="6"/>
  <c r="G36" i="6"/>
  <c r="J35" i="6"/>
  <c r="I35" i="6"/>
  <c r="H35" i="6"/>
  <c r="G35" i="6"/>
  <c r="J34" i="6"/>
  <c r="I34" i="6"/>
  <c r="H34" i="6"/>
  <c r="G34" i="6"/>
  <c r="J33" i="6"/>
  <c r="I33" i="6"/>
  <c r="H33" i="6"/>
  <c r="G33" i="6"/>
  <c r="J32" i="6"/>
  <c r="I32" i="6"/>
  <c r="H32" i="6"/>
  <c r="G32" i="6"/>
  <c r="J31" i="6"/>
  <c r="I31" i="6"/>
  <c r="H31" i="6"/>
  <c r="G31" i="6"/>
  <c r="J30" i="6"/>
  <c r="I30" i="6"/>
  <c r="H30" i="6"/>
  <c r="G30" i="6"/>
  <c r="J29" i="6"/>
  <c r="I29" i="6"/>
  <c r="H29" i="6"/>
  <c r="G29" i="6"/>
  <c r="J28" i="6"/>
  <c r="I28" i="6"/>
  <c r="H28" i="6"/>
  <c r="G28" i="6"/>
  <c r="J27" i="6"/>
  <c r="I27" i="6"/>
  <c r="H27" i="6"/>
  <c r="G27" i="6"/>
  <c r="J26" i="6"/>
  <c r="I26" i="6"/>
  <c r="H26" i="6"/>
  <c r="G26" i="6"/>
  <c r="J25" i="6"/>
  <c r="I25" i="6"/>
  <c r="H25" i="6"/>
  <c r="G25" i="6"/>
  <c r="J24" i="6"/>
  <c r="I24" i="6"/>
  <c r="H24" i="6"/>
  <c r="G24" i="6"/>
  <c r="J23" i="6"/>
  <c r="I23" i="6"/>
  <c r="H23" i="6"/>
  <c r="G23" i="6"/>
  <c r="J22" i="6"/>
  <c r="I22" i="6"/>
  <c r="H22" i="6"/>
  <c r="G22" i="6"/>
  <c r="J21" i="6"/>
  <c r="I21" i="6"/>
  <c r="H21" i="6"/>
  <c r="G21" i="6"/>
  <c r="J20" i="6"/>
  <c r="I20" i="6"/>
  <c r="H20" i="6"/>
  <c r="G20" i="6"/>
  <c r="J19" i="6"/>
  <c r="I19" i="6"/>
  <c r="H19" i="6"/>
  <c r="G19" i="6"/>
  <c r="J18" i="6"/>
  <c r="I18" i="6"/>
  <c r="H18" i="6"/>
  <c r="G18" i="6"/>
  <c r="J17" i="6"/>
  <c r="I17" i="6"/>
  <c r="H17" i="6"/>
  <c r="G17" i="6"/>
  <c r="J16" i="6"/>
  <c r="I16" i="6"/>
  <c r="H16" i="6"/>
  <c r="G16" i="6"/>
  <c r="J15" i="6"/>
  <c r="I15" i="6"/>
  <c r="H15" i="6"/>
  <c r="G15" i="6"/>
  <c r="J14" i="6"/>
  <c r="I14" i="6"/>
  <c r="H14" i="6"/>
  <c r="G14" i="6"/>
  <c r="J13" i="6"/>
  <c r="I13" i="6"/>
  <c r="H13" i="6"/>
  <c r="G13" i="6"/>
  <c r="J12" i="6"/>
  <c r="I12" i="6"/>
  <c r="H12" i="6"/>
  <c r="G12" i="6"/>
  <c r="J11" i="6"/>
  <c r="I11" i="6"/>
  <c r="H11" i="6"/>
  <c r="G11" i="6"/>
  <c r="J10" i="6"/>
  <c r="I10" i="6"/>
  <c r="H10" i="6"/>
  <c r="G10" i="6"/>
  <c r="J9" i="6"/>
  <c r="I9" i="6"/>
  <c r="H9" i="6"/>
  <c r="G9" i="6"/>
  <c r="J8" i="6"/>
  <c r="I8" i="6"/>
  <c r="H8" i="6"/>
  <c r="G8" i="6"/>
  <c r="J7" i="6"/>
  <c r="I7" i="6"/>
  <c r="H7" i="6"/>
  <c r="G7" i="6"/>
  <c r="J6" i="6"/>
  <c r="I6" i="6"/>
  <c r="H6" i="6"/>
  <c r="G6" i="6"/>
  <c r="J5" i="6"/>
  <c r="I5" i="6"/>
  <c r="H5" i="6"/>
  <c r="G5" i="6"/>
  <c r="J4" i="6"/>
  <c r="I4" i="6"/>
  <c r="H4" i="6"/>
  <c r="G4" i="6"/>
  <c r="J3" i="6"/>
  <c r="I3" i="6"/>
  <c r="H3" i="6"/>
  <c r="G3" i="6"/>
  <c r="J2" i="6"/>
  <c r="I2" i="6"/>
  <c r="H2" i="6"/>
  <c r="G2" i="6"/>
  <c r="J151" i="5"/>
  <c r="I151" i="5"/>
  <c r="H151" i="5"/>
  <c r="G151" i="5"/>
  <c r="J150" i="5"/>
  <c r="I150" i="5"/>
  <c r="H150" i="5"/>
  <c r="G150" i="5"/>
  <c r="J149" i="5"/>
  <c r="I149" i="5"/>
  <c r="H149" i="5"/>
  <c r="G149" i="5"/>
  <c r="J148" i="5"/>
  <c r="I148" i="5"/>
  <c r="H148" i="5"/>
  <c r="G148" i="5"/>
  <c r="J147" i="5"/>
  <c r="I147" i="5"/>
  <c r="H147" i="5"/>
  <c r="G147" i="5"/>
  <c r="J146" i="5"/>
  <c r="I146" i="5"/>
  <c r="H146" i="5"/>
  <c r="G146" i="5"/>
  <c r="J145" i="5"/>
  <c r="I145" i="5"/>
  <c r="H145" i="5"/>
  <c r="G145" i="5"/>
  <c r="J144" i="5"/>
  <c r="I144" i="5"/>
  <c r="H144" i="5"/>
  <c r="G144" i="5"/>
  <c r="J143" i="5"/>
  <c r="I143" i="5"/>
  <c r="H143" i="5"/>
  <c r="G143" i="5"/>
  <c r="J142" i="5"/>
  <c r="I142" i="5"/>
  <c r="H142" i="5"/>
  <c r="G142" i="5"/>
  <c r="J141" i="5"/>
  <c r="I141" i="5"/>
  <c r="H141" i="5"/>
  <c r="G141" i="5"/>
  <c r="J140" i="5"/>
  <c r="I140" i="5"/>
  <c r="H140" i="5"/>
  <c r="G140" i="5"/>
  <c r="J139" i="5"/>
  <c r="I139" i="5"/>
  <c r="H139" i="5"/>
  <c r="G139" i="5"/>
  <c r="J138" i="5"/>
  <c r="I138" i="5"/>
  <c r="H138" i="5"/>
  <c r="G138" i="5"/>
  <c r="J137" i="5"/>
  <c r="I137" i="5"/>
  <c r="H137" i="5"/>
  <c r="G137" i="5"/>
  <c r="J136" i="5"/>
  <c r="I136" i="5"/>
  <c r="H136" i="5"/>
  <c r="G136" i="5"/>
  <c r="J135" i="5"/>
  <c r="I135" i="5"/>
  <c r="H135" i="5"/>
  <c r="G135" i="5"/>
  <c r="J134" i="5"/>
  <c r="I134" i="5"/>
  <c r="H134" i="5"/>
  <c r="G134" i="5"/>
  <c r="J133" i="5"/>
  <c r="I133" i="5"/>
  <c r="H133" i="5"/>
  <c r="G133" i="5"/>
  <c r="J132" i="5"/>
  <c r="I132" i="5"/>
  <c r="H132" i="5"/>
  <c r="G132" i="5"/>
  <c r="J131" i="5"/>
  <c r="I131" i="5"/>
  <c r="H131" i="5"/>
  <c r="G131" i="5"/>
  <c r="J130" i="5"/>
  <c r="I130" i="5"/>
  <c r="H130" i="5"/>
  <c r="G130" i="5"/>
  <c r="J129" i="5"/>
  <c r="I129" i="5"/>
  <c r="H129" i="5"/>
  <c r="G129" i="5"/>
  <c r="J128" i="5"/>
  <c r="I128" i="5"/>
  <c r="H128" i="5"/>
  <c r="G128" i="5"/>
  <c r="J127" i="5"/>
  <c r="I127" i="5"/>
  <c r="H127" i="5"/>
  <c r="G127" i="5"/>
  <c r="J126" i="5"/>
  <c r="I126" i="5"/>
  <c r="H126" i="5"/>
  <c r="G126" i="5"/>
  <c r="J125" i="5"/>
  <c r="I125" i="5"/>
  <c r="H125" i="5"/>
  <c r="G125" i="5"/>
  <c r="J124" i="5"/>
  <c r="I124" i="5"/>
  <c r="H124" i="5"/>
  <c r="G124" i="5"/>
  <c r="J123" i="5"/>
  <c r="I123" i="5"/>
  <c r="H123" i="5"/>
  <c r="G123" i="5"/>
  <c r="J122" i="5"/>
  <c r="I122" i="5"/>
  <c r="H122" i="5"/>
  <c r="G122" i="5"/>
  <c r="J121" i="5"/>
  <c r="I121" i="5"/>
  <c r="H121" i="5"/>
  <c r="G121" i="5"/>
  <c r="J120" i="5"/>
  <c r="I120" i="5"/>
  <c r="H120" i="5"/>
  <c r="G120" i="5"/>
  <c r="J119" i="5"/>
  <c r="I119" i="5"/>
  <c r="H119" i="5"/>
  <c r="G119" i="5"/>
  <c r="J118" i="5"/>
  <c r="I118" i="5"/>
  <c r="H118" i="5"/>
  <c r="G118" i="5"/>
  <c r="J117" i="5"/>
  <c r="I117" i="5"/>
  <c r="H117" i="5"/>
  <c r="G117" i="5"/>
  <c r="J116" i="5"/>
  <c r="I116" i="5"/>
  <c r="H116" i="5"/>
  <c r="G116" i="5"/>
  <c r="J115" i="5"/>
  <c r="I115" i="5"/>
  <c r="H115" i="5"/>
  <c r="G115" i="5"/>
  <c r="J114" i="5"/>
  <c r="I114" i="5"/>
  <c r="H114" i="5"/>
  <c r="G114" i="5"/>
  <c r="J113" i="5"/>
  <c r="I113" i="5"/>
  <c r="H113" i="5"/>
  <c r="G113" i="5"/>
  <c r="J112" i="5"/>
  <c r="I112" i="5"/>
  <c r="H112" i="5"/>
  <c r="G112" i="5"/>
  <c r="J111" i="5"/>
  <c r="I111" i="5"/>
  <c r="H111" i="5"/>
  <c r="G111" i="5"/>
  <c r="J110" i="5"/>
  <c r="I110" i="5"/>
  <c r="H110" i="5"/>
  <c r="G110" i="5"/>
  <c r="J109" i="5"/>
  <c r="I109" i="5"/>
  <c r="H109" i="5"/>
  <c r="G109" i="5"/>
  <c r="J108" i="5"/>
  <c r="I108" i="5"/>
  <c r="H108" i="5"/>
  <c r="G108" i="5"/>
  <c r="J107" i="5"/>
  <c r="I107" i="5"/>
  <c r="H107" i="5"/>
  <c r="G107" i="5"/>
  <c r="J106" i="5"/>
  <c r="I106" i="5"/>
  <c r="H106" i="5"/>
  <c r="G106" i="5"/>
  <c r="J105" i="5"/>
  <c r="I105" i="5"/>
  <c r="H105" i="5"/>
  <c r="G105" i="5"/>
  <c r="J104" i="5"/>
  <c r="I104" i="5"/>
  <c r="H104" i="5"/>
  <c r="G104" i="5"/>
  <c r="J103" i="5"/>
  <c r="I103" i="5"/>
  <c r="H103" i="5"/>
  <c r="G103" i="5"/>
  <c r="J102" i="5"/>
  <c r="I102" i="5"/>
  <c r="H102" i="5"/>
  <c r="G102" i="5"/>
  <c r="J101" i="5"/>
  <c r="I101" i="5"/>
  <c r="H101" i="5"/>
  <c r="G101" i="5"/>
  <c r="J100" i="5"/>
  <c r="I100" i="5"/>
  <c r="H100" i="5"/>
  <c r="G100" i="5"/>
  <c r="J99" i="5"/>
  <c r="I99" i="5"/>
  <c r="H99" i="5"/>
  <c r="G99" i="5"/>
  <c r="J98" i="5"/>
  <c r="I98" i="5"/>
  <c r="H98" i="5"/>
  <c r="G98" i="5"/>
  <c r="J97" i="5"/>
  <c r="I97" i="5"/>
  <c r="H97" i="5"/>
  <c r="G97" i="5"/>
  <c r="J96" i="5"/>
  <c r="I96" i="5"/>
  <c r="H96" i="5"/>
  <c r="G96" i="5"/>
  <c r="J95" i="5"/>
  <c r="I95" i="5"/>
  <c r="H95" i="5"/>
  <c r="G95" i="5"/>
  <c r="J94" i="5"/>
  <c r="I94" i="5"/>
  <c r="H94" i="5"/>
  <c r="G94" i="5"/>
  <c r="J93" i="5"/>
  <c r="I93" i="5"/>
  <c r="H93" i="5"/>
  <c r="G93" i="5"/>
  <c r="J92" i="5"/>
  <c r="I92" i="5"/>
  <c r="H92" i="5"/>
  <c r="G92" i="5"/>
  <c r="J91" i="5"/>
  <c r="I91" i="5"/>
  <c r="H91" i="5"/>
  <c r="G91" i="5"/>
  <c r="J90" i="5"/>
  <c r="I90" i="5"/>
  <c r="H90" i="5"/>
  <c r="G90" i="5"/>
  <c r="J89" i="5"/>
  <c r="I89" i="5"/>
  <c r="H89" i="5"/>
  <c r="G89" i="5"/>
  <c r="J88" i="5"/>
  <c r="I88" i="5"/>
  <c r="H88" i="5"/>
  <c r="G88" i="5"/>
  <c r="J87" i="5"/>
  <c r="I87" i="5"/>
  <c r="H87" i="5"/>
  <c r="G87" i="5"/>
  <c r="J86" i="5"/>
  <c r="I86" i="5"/>
  <c r="H86" i="5"/>
  <c r="G86" i="5"/>
  <c r="J85" i="5"/>
  <c r="I85" i="5"/>
  <c r="H85" i="5"/>
  <c r="G85" i="5"/>
  <c r="J84" i="5"/>
  <c r="I84" i="5"/>
  <c r="H84" i="5"/>
  <c r="G84" i="5"/>
  <c r="J83" i="5"/>
  <c r="I83" i="5"/>
  <c r="H83" i="5"/>
  <c r="G83" i="5"/>
  <c r="J82" i="5"/>
  <c r="I82" i="5"/>
  <c r="H82" i="5"/>
  <c r="G82" i="5"/>
  <c r="J81" i="5"/>
  <c r="I81" i="5"/>
  <c r="H81" i="5"/>
  <c r="G81" i="5"/>
  <c r="J80" i="5"/>
  <c r="I80" i="5"/>
  <c r="H80" i="5"/>
  <c r="G80" i="5"/>
  <c r="J79" i="5"/>
  <c r="I79" i="5"/>
  <c r="H79" i="5"/>
  <c r="G79" i="5"/>
  <c r="J78" i="5"/>
  <c r="I78" i="5"/>
  <c r="H78" i="5"/>
  <c r="G78" i="5"/>
  <c r="J77" i="5"/>
  <c r="I77" i="5"/>
  <c r="H77" i="5"/>
  <c r="G77" i="5"/>
  <c r="J76" i="5"/>
  <c r="I76" i="5"/>
  <c r="H76" i="5"/>
  <c r="G76" i="5"/>
  <c r="J75" i="5"/>
  <c r="I75" i="5"/>
  <c r="H75" i="5"/>
  <c r="G75" i="5"/>
  <c r="J74" i="5"/>
  <c r="I74" i="5"/>
  <c r="H74" i="5"/>
  <c r="G74" i="5"/>
  <c r="J73" i="5"/>
  <c r="I73" i="5"/>
  <c r="H73" i="5"/>
  <c r="G73" i="5"/>
  <c r="J72" i="5"/>
  <c r="I72" i="5"/>
  <c r="H72" i="5"/>
  <c r="G72" i="5"/>
  <c r="J71" i="5"/>
  <c r="I71" i="5"/>
  <c r="H71" i="5"/>
  <c r="G71" i="5"/>
  <c r="J70" i="5"/>
  <c r="I70" i="5"/>
  <c r="H70" i="5"/>
  <c r="G70" i="5"/>
  <c r="J69" i="5"/>
  <c r="I69" i="5"/>
  <c r="H69" i="5"/>
  <c r="G69" i="5"/>
  <c r="J68" i="5"/>
  <c r="I68" i="5"/>
  <c r="H68" i="5"/>
  <c r="G68" i="5"/>
  <c r="J67" i="5"/>
  <c r="I67" i="5"/>
  <c r="H67" i="5"/>
  <c r="G67" i="5"/>
  <c r="J66" i="5"/>
  <c r="I66" i="5"/>
  <c r="H66" i="5"/>
  <c r="G66" i="5"/>
  <c r="J65" i="5"/>
  <c r="I65" i="5"/>
  <c r="H65" i="5"/>
  <c r="G65" i="5"/>
  <c r="J64" i="5"/>
  <c r="I64" i="5"/>
  <c r="H64" i="5"/>
  <c r="G64" i="5"/>
  <c r="J63" i="5"/>
  <c r="I63" i="5"/>
  <c r="H63" i="5"/>
  <c r="G63" i="5"/>
  <c r="J62" i="5"/>
  <c r="I62" i="5"/>
  <c r="H62" i="5"/>
  <c r="G62" i="5"/>
  <c r="J61" i="5"/>
  <c r="I61" i="5"/>
  <c r="H61" i="5"/>
  <c r="G61" i="5"/>
  <c r="J60" i="5"/>
  <c r="I60" i="5"/>
  <c r="H60" i="5"/>
  <c r="G60" i="5"/>
  <c r="J59" i="5"/>
  <c r="I59" i="5"/>
  <c r="H59" i="5"/>
  <c r="G59" i="5"/>
  <c r="J58" i="5"/>
  <c r="I58" i="5"/>
  <c r="H58" i="5"/>
  <c r="G58" i="5"/>
  <c r="J57" i="5"/>
  <c r="I57" i="5"/>
  <c r="H57" i="5"/>
  <c r="G57" i="5"/>
  <c r="J56" i="5"/>
  <c r="I56" i="5"/>
  <c r="H56" i="5"/>
  <c r="G56" i="5"/>
  <c r="J55" i="5"/>
  <c r="I55" i="5"/>
  <c r="H55" i="5"/>
  <c r="G55" i="5"/>
  <c r="J54" i="5"/>
  <c r="I54" i="5"/>
  <c r="H54" i="5"/>
  <c r="G54" i="5"/>
  <c r="J53" i="5"/>
  <c r="I53" i="5"/>
  <c r="H53" i="5"/>
  <c r="G53" i="5"/>
  <c r="J52" i="5"/>
  <c r="I52" i="5"/>
  <c r="H52" i="5"/>
  <c r="G52" i="5"/>
  <c r="J51" i="5"/>
  <c r="I51" i="5"/>
  <c r="H51" i="5"/>
  <c r="G51" i="5"/>
  <c r="J50" i="5"/>
  <c r="I50" i="5"/>
  <c r="H50" i="5"/>
  <c r="G50" i="5"/>
  <c r="J49" i="5"/>
  <c r="I49" i="5"/>
  <c r="H49" i="5"/>
  <c r="G49" i="5"/>
  <c r="J48" i="5"/>
  <c r="I48" i="5"/>
  <c r="H48" i="5"/>
  <c r="G48" i="5"/>
  <c r="J47" i="5"/>
  <c r="I47" i="5"/>
  <c r="H47" i="5"/>
  <c r="G47" i="5"/>
  <c r="J46" i="5"/>
  <c r="I46" i="5"/>
  <c r="H46" i="5"/>
  <c r="G46" i="5"/>
  <c r="J45" i="5"/>
  <c r="I45" i="5"/>
  <c r="H45" i="5"/>
  <c r="G45" i="5"/>
  <c r="J44" i="5"/>
  <c r="I44" i="5"/>
  <c r="H44" i="5"/>
  <c r="G44" i="5"/>
  <c r="J43" i="5"/>
  <c r="I43" i="5"/>
  <c r="H43" i="5"/>
  <c r="G43" i="5"/>
  <c r="J42" i="5"/>
  <c r="I42" i="5"/>
  <c r="H42" i="5"/>
  <c r="G42" i="5"/>
  <c r="J41" i="5"/>
  <c r="I41" i="5"/>
  <c r="H41" i="5"/>
  <c r="G41" i="5"/>
  <c r="J40" i="5"/>
  <c r="I40" i="5"/>
  <c r="H40" i="5"/>
  <c r="G40" i="5"/>
  <c r="J39" i="5"/>
  <c r="I39" i="5"/>
  <c r="H39" i="5"/>
  <c r="G39" i="5"/>
  <c r="J38" i="5"/>
  <c r="I38" i="5"/>
  <c r="H38" i="5"/>
  <c r="G38" i="5"/>
  <c r="J37" i="5"/>
  <c r="I37" i="5"/>
  <c r="H37" i="5"/>
  <c r="G37" i="5"/>
  <c r="J36" i="5"/>
  <c r="I36" i="5"/>
  <c r="H36" i="5"/>
  <c r="G36" i="5"/>
  <c r="J35" i="5"/>
  <c r="I35" i="5"/>
  <c r="H35" i="5"/>
  <c r="G35" i="5"/>
  <c r="J34" i="5"/>
  <c r="I34" i="5"/>
  <c r="H34" i="5"/>
  <c r="G34" i="5"/>
  <c r="J33" i="5"/>
  <c r="I33" i="5"/>
  <c r="H33" i="5"/>
  <c r="G33" i="5"/>
  <c r="J32" i="5"/>
  <c r="I32" i="5"/>
  <c r="H32" i="5"/>
  <c r="G32" i="5"/>
  <c r="J31" i="5"/>
  <c r="I31" i="5"/>
  <c r="H31" i="5"/>
  <c r="G31" i="5"/>
  <c r="J30" i="5"/>
  <c r="I30" i="5"/>
  <c r="H30" i="5"/>
  <c r="G30" i="5"/>
  <c r="J29" i="5"/>
  <c r="I29" i="5"/>
  <c r="H29" i="5"/>
  <c r="G29" i="5"/>
  <c r="J28" i="5"/>
  <c r="I28" i="5"/>
  <c r="H28" i="5"/>
  <c r="G28" i="5"/>
  <c r="J27" i="5"/>
  <c r="I27" i="5"/>
  <c r="H27" i="5"/>
  <c r="G27" i="5"/>
  <c r="J26" i="5"/>
  <c r="I26" i="5"/>
  <c r="H26" i="5"/>
  <c r="G26" i="5"/>
  <c r="J25" i="5"/>
  <c r="I25" i="5"/>
  <c r="H25" i="5"/>
  <c r="G25" i="5"/>
  <c r="J24" i="5"/>
  <c r="I24" i="5"/>
  <c r="H24" i="5"/>
  <c r="G24" i="5"/>
  <c r="J23" i="5"/>
  <c r="I23" i="5"/>
  <c r="H23" i="5"/>
  <c r="G23" i="5"/>
  <c r="J22" i="5"/>
  <c r="I22" i="5"/>
  <c r="H22" i="5"/>
  <c r="G22" i="5"/>
  <c r="J21" i="5"/>
  <c r="I21" i="5"/>
  <c r="H21" i="5"/>
  <c r="G21" i="5"/>
  <c r="J20" i="5"/>
  <c r="I20" i="5"/>
  <c r="H20" i="5"/>
  <c r="G20" i="5"/>
  <c r="J19" i="5"/>
  <c r="I19" i="5"/>
  <c r="H19" i="5"/>
  <c r="G19" i="5"/>
  <c r="J18" i="5"/>
  <c r="I18" i="5"/>
  <c r="H18" i="5"/>
  <c r="G18" i="5"/>
  <c r="J17" i="5"/>
  <c r="I17" i="5"/>
  <c r="H17" i="5"/>
  <c r="G17" i="5"/>
  <c r="J16" i="5"/>
  <c r="I16" i="5"/>
  <c r="H16" i="5"/>
  <c r="G16" i="5"/>
  <c r="J15" i="5"/>
  <c r="I15" i="5"/>
  <c r="H15" i="5"/>
  <c r="G15" i="5"/>
  <c r="J14" i="5"/>
  <c r="I14" i="5"/>
  <c r="H14" i="5"/>
  <c r="G14" i="5"/>
  <c r="J13" i="5"/>
  <c r="I13" i="5"/>
  <c r="H13" i="5"/>
  <c r="G13" i="5"/>
  <c r="J12" i="5"/>
  <c r="I12" i="5"/>
  <c r="H12" i="5"/>
  <c r="G12" i="5"/>
  <c r="J11" i="5"/>
  <c r="I11" i="5"/>
  <c r="H11" i="5"/>
  <c r="G11" i="5"/>
  <c r="J10" i="5"/>
  <c r="I10" i="5"/>
  <c r="H10" i="5"/>
  <c r="G10" i="5"/>
  <c r="J9" i="5"/>
  <c r="I9" i="5"/>
  <c r="H9" i="5"/>
  <c r="G9" i="5"/>
  <c r="J8" i="5"/>
  <c r="I8" i="5"/>
  <c r="H8" i="5"/>
  <c r="G8" i="5"/>
  <c r="J7" i="5"/>
  <c r="I7" i="5"/>
  <c r="H7" i="5"/>
  <c r="G7" i="5"/>
  <c r="J6" i="5"/>
  <c r="I6" i="5"/>
  <c r="H6" i="5"/>
  <c r="G6" i="5"/>
  <c r="J5" i="5"/>
  <c r="I5" i="5"/>
  <c r="H5" i="5"/>
  <c r="G5" i="5"/>
  <c r="J4" i="5"/>
  <c r="I4" i="5"/>
  <c r="H4" i="5"/>
  <c r="G4" i="5"/>
  <c r="J3" i="5"/>
  <c r="I3" i="5"/>
  <c r="H3" i="5"/>
  <c r="G3" i="5"/>
  <c r="J2" i="5"/>
  <c r="I2" i="5"/>
  <c r="H2" i="5"/>
  <c r="G2" i="5"/>
  <c r="J151" i="3"/>
  <c r="I151" i="3"/>
  <c r="H151" i="3"/>
  <c r="G151" i="3"/>
  <c r="J150" i="3"/>
  <c r="I150" i="3"/>
  <c r="H150" i="3"/>
  <c r="G150" i="3"/>
  <c r="J149" i="3"/>
  <c r="I149" i="3"/>
  <c r="H149" i="3"/>
  <c r="G149" i="3"/>
  <c r="J148" i="3"/>
  <c r="I148" i="3"/>
  <c r="H148" i="3"/>
  <c r="G148" i="3"/>
  <c r="J147" i="3"/>
  <c r="I147" i="3"/>
  <c r="H147" i="3"/>
  <c r="G147" i="3"/>
  <c r="J146" i="3"/>
  <c r="I146" i="3"/>
  <c r="H146" i="3"/>
  <c r="G146" i="3"/>
  <c r="J145" i="3"/>
  <c r="I145" i="3"/>
  <c r="H145" i="3"/>
  <c r="G145" i="3"/>
  <c r="J144" i="3"/>
  <c r="I144" i="3"/>
  <c r="H144" i="3"/>
  <c r="G144" i="3"/>
  <c r="J143" i="3"/>
  <c r="I143" i="3"/>
  <c r="H143" i="3"/>
  <c r="G143" i="3"/>
  <c r="J142" i="3"/>
  <c r="I142" i="3"/>
  <c r="H142" i="3"/>
  <c r="G142" i="3"/>
  <c r="J141" i="3"/>
  <c r="I141" i="3"/>
  <c r="H141" i="3"/>
  <c r="G141" i="3"/>
  <c r="J140" i="3"/>
  <c r="I140" i="3"/>
  <c r="H140" i="3"/>
  <c r="G140" i="3"/>
  <c r="J139" i="3"/>
  <c r="I139" i="3"/>
  <c r="H139" i="3"/>
  <c r="G139" i="3"/>
  <c r="J138" i="3"/>
  <c r="I138" i="3"/>
  <c r="H138" i="3"/>
  <c r="G138" i="3"/>
  <c r="J137" i="3"/>
  <c r="I137" i="3"/>
  <c r="H137" i="3"/>
  <c r="G137" i="3"/>
  <c r="J136" i="3"/>
  <c r="I136" i="3"/>
  <c r="H136" i="3"/>
  <c r="G136" i="3"/>
  <c r="J135" i="3"/>
  <c r="I135" i="3"/>
  <c r="H135" i="3"/>
  <c r="G135" i="3"/>
  <c r="J134" i="3"/>
  <c r="I134" i="3"/>
  <c r="H134" i="3"/>
  <c r="G134" i="3"/>
  <c r="J133" i="3"/>
  <c r="I133" i="3"/>
  <c r="H133" i="3"/>
  <c r="G133" i="3"/>
  <c r="J132" i="3"/>
  <c r="I132" i="3"/>
  <c r="H132" i="3"/>
  <c r="G132" i="3"/>
  <c r="J131" i="3"/>
  <c r="I131" i="3"/>
  <c r="H131" i="3"/>
  <c r="G131" i="3"/>
  <c r="J130" i="3"/>
  <c r="I130" i="3"/>
  <c r="H130" i="3"/>
  <c r="G130" i="3"/>
  <c r="J129" i="3"/>
  <c r="I129" i="3"/>
  <c r="H129" i="3"/>
  <c r="G129" i="3"/>
  <c r="J128" i="3"/>
  <c r="I128" i="3"/>
  <c r="H128" i="3"/>
  <c r="G128" i="3"/>
  <c r="J127" i="3"/>
  <c r="I127" i="3"/>
  <c r="H127" i="3"/>
  <c r="G127" i="3"/>
  <c r="J126" i="3"/>
  <c r="I126" i="3"/>
  <c r="H126" i="3"/>
  <c r="G126" i="3"/>
  <c r="J125" i="3"/>
  <c r="I125" i="3"/>
  <c r="H125" i="3"/>
  <c r="G125" i="3"/>
  <c r="J124" i="3"/>
  <c r="I124" i="3"/>
  <c r="H124" i="3"/>
  <c r="G124" i="3"/>
  <c r="J123" i="3"/>
  <c r="I123" i="3"/>
  <c r="H123" i="3"/>
  <c r="G123" i="3"/>
  <c r="J122" i="3"/>
  <c r="I122" i="3"/>
  <c r="H122" i="3"/>
  <c r="G122" i="3"/>
  <c r="J121" i="3"/>
  <c r="I121" i="3"/>
  <c r="H121" i="3"/>
  <c r="G121" i="3"/>
  <c r="J120" i="3"/>
  <c r="I120" i="3"/>
  <c r="H120" i="3"/>
  <c r="G120" i="3"/>
  <c r="J119" i="3"/>
  <c r="I119" i="3"/>
  <c r="H119" i="3"/>
  <c r="G119" i="3"/>
  <c r="J118" i="3"/>
  <c r="I118" i="3"/>
  <c r="H118" i="3"/>
  <c r="G118" i="3"/>
  <c r="J117" i="3"/>
  <c r="I117" i="3"/>
  <c r="H117" i="3"/>
  <c r="G117" i="3"/>
  <c r="J116" i="3"/>
  <c r="I116" i="3"/>
  <c r="H116" i="3"/>
  <c r="G116" i="3"/>
  <c r="J115" i="3"/>
  <c r="I115" i="3"/>
  <c r="H115" i="3"/>
  <c r="G115" i="3"/>
  <c r="J114" i="3"/>
  <c r="I114" i="3"/>
  <c r="H114" i="3"/>
  <c r="G114" i="3"/>
  <c r="J113" i="3"/>
  <c r="I113" i="3"/>
  <c r="H113" i="3"/>
  <c r="G113" i="3"/>
  <c r="J112" i="3"/>
  <c r="I112" i="3"/>
  <c r="H112" i="3"/>
  <c r="G112" i="3"/>
  <c r="J111" i="3"/>
  <c r="I111" i="3"/>
  <c r="H111" i="3"/>
  <c r="G111" i="3"/>
  <c r="J110" i="3"/>
  <c r="I110" i="3"/>
  <c r="H110" i="3"/>
  <c r="G110" i="3"/>
  <c r="J109" i="3"/>
  <c r="I109" i="3"/>
  <c r="H109" i="3"/>
  <c r="G109" i="3"/>
  <c r="J108" i="3"/>
  <c r="I108" i="3"/>
  <c r="H108" i="3"/>
  <c r="G108" i="3"/>
  <c r="J107" i="3"/>
  <c r="I107" i="3"/>
  <c r="H107" i="3"/>
  <c r="G107" i="3"/>
  <c r="J106" i="3"/>
  <c r="I106" i="3"/>
  <c r="H106" i="3"/>
  <c r="G106" i="3"/>
  <c r="J105" i="3"/>
  <c r="I105" i="3"/>
  <c r="H105" i="3"/>
  <c r="G105" i="3"/>
  <c r="J104" i="3"/>
  <c r="I104" i="3"/>
  <c r="H104" i="3"/>
  <c r="G104" i="3"/>
  <c r="J103" i="3"/>
  <c r="I103" i="3"/>
  <c r="H103" i="3"/>
  <c r="G103" i="3"/>
  <c r="J102" i="3"/>
  <c r="I102" i="3"/>
  <c r="H102" i="3"/>
  <c r="G102" i="3"/>
  <c r="J101" i="3"/>
  <c r="I101" i="3"/>
  <c r="H101" i="3"/>
  <c r="G101" i="3"/>
  <c r="J100" i="3"/>
  <c r="I100" i="3"/>
  <c r="H100" i="3"/>
  <c r="G100" i="3"/>
  <c r="J99" i="3"/>
  <c r="I99" i="3"/>
  <c r="H99" i="3"/>
  <c r="G99" i="3"/>
  <c r="J98" i="3"/>
  <c r="I98" i="3"/>
  <c r="H98" i="3"/>
  <c r="G98" i="3"/>
  <c r="J97" i="3"/>
  <c r="I97" i="3"/>
  <c r="H97" i="3"/>
  <c r="G97" i="3"/>
  <c r="J96" i="3"/>
  <c r="I96" i="3"/>
  <c r="H96" i="3"/>
  <c r="G96" i="3"/>
  <c r="J95" i="3"/>
  <c r="I95" i="3"/>
  <c r="H95" i="3"/>
  <c r="G95" i="3"/>
  <c r="J94" i="3"/>
  <c r="I94" i="3"/>
  <c r="H94" i="3"/>
  <c r="G94" i="3"/>
  <c r="J93" i="3"/>
  <c r="I93" i="3"/>
  <c r="H93" i="3"/>
  <c r="G93" i="3"/>
  <c r="J92" i="3"/>
  <c r="I92" i="3"/>
  <c r="H92" i="3"/>
  <c r="G92" i="3"/>
  <c r="J91" i="3"/>
  <c r="I91" i="3"/>
  <c r="H91" i="3"/>
  <c r="G91" i="3"/>
  <c r="J90" i="3"/>
  <c r="I90" i="3"/>
  <c r="H90" i="3"/>
  <c r="G90" i="3"/>
  <c r="J89" i="3"/>
  <c r="I89" i="3"/>
  <c r="H89" i="3"/>
  <c r="G89" i="3"/>
  <c r="J88" i="3"/>
  <c r="I88" i="3"/>
  <c r="H88" i="3"/>
  <c r="G88" i="3"/>
  <c r="J87" i="3"/>
  <c r="I87" i="3"/>
  <c r="H87" i="3"/>
  <c r="G87" i="3"/>
  <c r="J86" i="3"/>
  <c r="I86" i="3"/>
  <c r="H86" i="3"/>
  <c r="G86" i="3"/>
  <c r="J85" i="3"/>
  <c r="I85" i="3"/>
  <c r="H85" i="3"/>
  <c r="G85" i="3"/>
  <c r="J84" i="3"/>
  <c r="I84" i="3"/>
  <c r="H84" i="3"/>
  <c r="G84" i="3"/>
  <c r="J83" i="3"/>
  <c r="I83" i="3"/>
  <c r="H83" i="3"/>
  <c r="G83" i="3"/>
  <c r="J82" i="3"/>
  <c r="I82" i="3"/>
  <c r="H82" i="3"/>
  <c r="G82" i="3"/>
  <c r="J81" i="3"/>
  <c r="I81" i="3"/>
  <c r="H81" i="3"/>
  <c r="G81" i="3"/>
  <c r="J80" i="3"/>
  <c r="I80" i="3"/>
  <c r="H80" i="3"/>
  <c r="G80" i="3"/>
  <c r="J79" i="3"/>
  <c r="I79" i="3"/>
  <c r="H79" i="3"/>
  <c r="G79" i="3"/>
  <c r="J78" i="3"/>
  <c r="I78" i="3"/>
  <c r="H78" i="3"/>
  <c r="G78" i="3"/>
  <c r="J77" i="3"/>
  <c r="I77" i="3"/>
  <c r="H77" i="3"/>
  <c r="G77" i="3"/>
  <c r="J76" i="3"/>
  <c r="I76" i="3"/>
  <c r="H76" i="3"/>
  <c r="G76" i="3"/>
  <c r="J75" i="3"/>
  <c r="I75" i="3"/>
  <c r="H75" i="3"/>
  <c r="G75" i="3"/>
  <c r="J74" i="3"/>
  <c r="I74" i="3"/>
  <c r="H74" i="3"/>
  <c r="G74" i="3"/>
  <c r="J73" i="3"/>
  <c r="I73" i="3"/>
  <c r="H73" i="3"/>
  <c r="G73" i="3"/>
  <c r="J72" i="3"/>
  <c r="I72" i="3"/>
  <c r="H72" i="3"/>
  <c r="G72" i="3"/>
  <c r="J71" i="3"/>
  <c r="I71" i="3"/>
  <c r="H71" i="3"/>
  <c r="G71" i="3"/>
  <c r="J70" i="3"/>
  <c r="I70" i="3"/>
  <c r="H70" i="3"/>
  <c r="G70" i="3"/>
  <c r="J69" i="3"/>
  <c r="I69" i="3"/>
  <c r="H69" i="3"/>
  <c r="G69" i="3"/>
  <c r="J68" i="3"/>
  <c r="I68" i="3"/>
  <c r="H68" i="3"/>
  <c r="G68" i="3"/>
  <c r="J67" i="3"/>
  <c r="I67" i="3"/>
  <c r="H67" i="3"/>
  <c r="G67" i="3"/>
  <c r="J66" i="3"/>
  <c r="I66" i="3"/>
  <c r="H66" i="3"/>
  <c r="G66" i="3"/>
  <c r="J65" i="3"/>
  <c r="I65" i="3"/>
  <c r="H65" i="3"/>
  <c r="G65" i="3"/>
  <c r="J64" i="3"/>
  <c r="I64" i="3"/>
  <c r="H64" i="3"/>
  <c r="G64" i="3"/>
  <c r="J63" i="3"/>
  <c r="I63" i="3"/>
  <c r="H63" i="3"/>
  <c r="G63" i="3"/>
  <c r="J62" i="3"/>
  <c r="I62" i="3"/>
  <c r="H62" i="3"/>
  <c r="G62" i="3"/>
  <c r="J61" i="3"/>
  <c r="I61" i="3"/>
  <c r="H61" i="3"/>
  <c r="G61" i="3"/>
  <c r="J60" i="3"/>
  <c r="I60" i="3"/>
  <c r="H60" i="3"/>
  <c r="G60" i="3"/>
  <c r="J59" i="3"/>
  <c r="I59" i="3"/>
  <c r="H59" i="3"/>
  <c r="G59" i="3"/>
  <c r="J58" i="3"/>
  <c r="I58" i="3"/>
  <c r="H58" i="3"/>
  <c r="G58" i="3"/>
  <c r="J57" i="3"/>
  <c r="I57" i="3"/>
  <c r="H57" i="3"/>
  <c r="G57" i="3"/>
  <c r="J56" i="3"/>
  <c r="I56" i="3"/>
  <c r="H56" i="3"/>
  <c r="G56" i="3"/>
  <c r="J55" i="3"/>
  <c r="I55" i="3"/>
  <c r="H55" i="3"/>
  <c r="G55" i="3"/>
  <c r="J54" i="3"/>
  <c r="I54" i="3"/>
  <c r="H54" i="3"/>
  <c r="G54" i="3"/>
  <c r="J53" i="3"/>
  <c r="I53" i="3"/>
  <c r="H53" i="3"/>
  <c r="G53" i="3"/>
  <c r="J52" i="3"/>
  <c r="I52" i="3"/>
  <c r="H52" i="3"/>
  <c r="G52" i="3"/>
  <c r="J51" i="3"/>
  <c r="I51" i="3"/>
  <c r="H51" i="3"/>
  <c r="G51" i="3"/>
  <c r="J50" i="3"/>
  <c r="I50" i="3"/>
  <c r="H50" i="3"/>
  <c r="G50" i="3"/>
  <c r="J49" i="3"/>
  <c r="I49" i="3"/>
  <c r="H49" i="3"/>
  <c r="G49" i="3"/>
  <c r="J48" i="3"/>
  <c r="I48" i="3"/>
  <c r="H48" i="3"/>
  <c r="G48" i="3"/>
  <c r="J47" i="3"/>
  <c r="I47" i="3"/>
  <c r="H47" i="3"/>
  <c r="G47" i="3"/>
  <c r="J46" i="3"/>
  <c r="I46" i="3"/>
  <c r="H46" i="3"/>
  <c r="G46" i="3"/>
  <c r="J45" i="3"/>
  <c r="I45" i="3"/>
  <c r="H45" i="3"/>
  <c r="G45" i="3"/>
  <c r="J44" i="3"/>
  <c r="I44" i="3"/>
  <c r="H44" i="3"/>
  <c r="G44" i="3"/>
  <c r="J43" i="3"/>
  <c r="I43" i="3"/>
  <c r="H43" i="3"/>
  <c r="G43" i="3"/>
  <c r="J42" i="3"/>
  <c r="I42" i="3"/>
  <c r="H42" i="3"/>
  <c r="G42" i="3"/>
  <c r="J41" i="3"/>
  <c r="I41" i="3"/>
  <c r="H41" i="3"/>
  <c r="G41" i="3"/>
  <c r="J40" i="3"/>
  <c r="I40" i="3"/>
  <c r="H40" i="3"/>
  <c r="G40" i="3"/>
  <c r="J39" i="3"/>
  <c r="I39" i="3"/>
  <c r="H39" i="3"/>
  <c r="G39" i="3"/>
  <c r="J38" i="3"/>
  <c r="I38" i="3"/>
  <c r="H38" i="3"/>
  <c r="G38" i="3"/>
  <c r="J37" i="3"/>
  <c r="I37" i="3"/>
  <c r="H37" i="3"/>
  <c r="G37" i="3"/>
  <c r="J36" i="3"/>
  <c r="I36" i="3"/>
  <c r="H36" i="3"/>
  <c r="G36" i="3"/>
  <c r="J35" i="3"/>
  <c r="I35" i="3"/>
  <c r="H35" i="3"/>
  <c r="G35" i="3"/>
  <c r="J34" i="3"/>
  <c r="I34" i="3"/>
  <c r="H34" i="3"/>
  <c r="G34" i="3"/>
  <c r="J33" i="3"/>
  <c r="I33" i="3"/>
  <c r="H33" i="3"/>
  <c r="G33" i="3"/>
  <c r="J32" i="3"/>
  <c r="I32" i="3"/>
  <c r="H32" i="3"/>
  <c r="G32" i="3"/>
  <c r="J31" i="3"/>
  <c r="I31" i="3"/>
  <c r="H31" i="3"/>
  <c r="G31" i="3"/>
  <c r="J30" i="3"/>
  <c r="I30" i="3"/>
  <c r="H30" i="3"/>
  <c r="G30" i="3"/>
  <c r="J29" i="3"/>
  <c r="I29" i="3"/>
  <c r="H29" i="3"/>
  <c r="G29" i="3"/>
  <c r="J28" i="3"/>
  <c r="I28" i="3"/>
  <c r="H28" i="3"/>
  <c r="G28" i="3"/>
  <c r="J27" i="3"/>
  <c r="I27" i="3"/>
  <c r="H27" i="3"/>
  <c r="G27" i="3"/>
  <c r="J26" i="3"/>
  <c r="I26" i="3"/>
  <c r="H26" i="3"/>
  <c r="G26" i="3"/>
  <c r="J25" i="3"/>
  <c r="I25" i="3"/>
  <c r="H25" i="3"/>
  <c r="G25" i="3"/>
  <c r="J24" i="3"/>
  <c r="I24" i="3"/>
  <c r="H24" i="3"/>
  <c r="G24" i="3"/>
  <c r="J23" i="3"/>
  <c r="I23" i="3"/>
  <c r="H23" i="3"/>
  <c r="G23" i="3"/>
  <c r="J22" i="3"/>
  <c r="I22" i="3"/>
  <c r="H22" i="3"/>
  <c r="G22" i="3"/>
  <c r="J21" i="3"/>
  <c r="I21" i="3"/>
  <c r="H21" i="3"/>
  <c r="G21" i="3"/>
  <c r="J20" i="3"/>
  <c r="I20" i="3"/>
  <c r="H20" i="3"/>
  <c r="G20" i="3"/>
  <c r="J19" i="3"/>
  <c r="I19" i="3"/>
  <c r="H19" i="3"/>
  <c r="G19" i="3"/>
  <c r="J18" i="3"/>
  <c r="I18" i="3"/>
  <c r="H18" i="3"/>
  <c r="G18" i="3"/>
  <c r="J17" i="3"/>
  <c r="I17" i="3"/>
  <c r="H17" i="3"/>
  <c r="G17" i="3"/>
  <c r="J16" i="3"/>
  <c r="I16" i="3"/>
  <c r="H16" i="3"/>
  <c r="G16" i="3"/>
  <c r="J15" i="3"/>
  <c r="I15" i="3"/>
  <c r="H15" i="3"/>
  <c r="G15" i="3"/>
  <c r="J14" i="3"/>
  <c r="I14" i="3"/>
  <c r="H14" i="3"/>
  <c r="G14" i="3"/>
  <c r="J13" i="3"/>
  <c r="I13" i="3"/>
  <c r="H13" i="3"/>
  <c r="G13" i="3"/>
  <c r="J12" i="3"/>
  <c r="I12" i="3"/>
  <c r="H12" i="3"/>
  <c r="G12" i="3"/>
  <c r="J11" i="3"/>
  <c r="I11" i="3"/>
  <c r="H11" i="3"/>
  <c r="G11" i="3"/>
  <c r="J10" i="3"/>
  <c r="I10" i="3"/>
  <c r="H10" i="3"/>
  <c r="G10" i="3"/>
  <c r="J9" i="3"/>
  <c r="I9" i="3"/>
  <c r="H9" i="3"/>
  <c r="G9" i="3"/>
  <c r="J8" i="3"/>
  <c r="I8" i="3"/>
  <c r="H8" i="3"/>
  <c r="G8" i="3"/>
  <c r="J7" i="3"/>
  <c r="I7" i="3"/>
  <c r="H7" i="3"/>
  <c r="G7" i="3"/>
  <c r="J6" i="3"/>
  <c r="I6" i="3"/>
  <c r="H6" i="3"/>
  <c r="G6" i="3"/>
  <c r="J5" i="3"/>
  <c r="I5" i="3"/>
  <c r="H5" i="3"/>
  <c r="G5" i="3"/>
  <c r="J4" i="3"/>
  <c r="I4" i="3"/>
  <c r="H4" i="3"/>
  <c r="G4" i="3"/>
  <c r="J3" i="3"/>
  <c r="I3" i="3"/>
  <c r="H3" i="3"/>
  <c r="G3" i="3"/>
  <c r="J2" i="3"/>
  <c r="I2" i="3"/>
  <c r="H2" i="3"/>
  <c r="G2" i="3"/>
  <c r="J151" i="1"/>
  <c r="I151" i="1"/>
  <c r="H151" i="1"/>
  <c r="G151" i="1"/>
  <c r="J150" i="1"/>
  <c r="I150" i="1"/>
  <c r="H150" i="1"/>
  <c r="G150" i="1"/>
  <c r="J149" i="1"/>
  <c r="I149" i="1"/>
  <c r="H149" i="1"/>
  <c r="G149" i="1"/>
  <c r="J148" i="1"/>
  <c r="I148" i="1"/>
  <c r="H148" i="1"/>
  <c r="G148" i="1"/>
  <c r="J147" i="1"/>
  <c r="I147" i="1"/>
  <c r="H147" i="1"/>
  <c r="G147" i="1"/>
  <c r="J146" i="1"/>
  <c r="I146" i="1"/>
  <c r="H146" i="1"/>
  <c r="G146" i="1"/>
  <c r="J145" i="1"/>
  <c r="I145" i="1"/>
  <c r="H145" i="1"/>
  <c r="G145" i="1"/>
  <c r="J144" i="1"/>
  <c r="I144" i="1"/>
  <c r="H144" i="1"/>
  <c r="G144" i="1"/>
  <c r="J143" i="1"/>
  <c r="I143" i="1"/>
  <c r="H143" i="1"/>
  <c r="G143" i="1"/>
  <c r="J142" i="1"/>
  <c r="I142" i="1"/>
  <c r="H142" i="1"/>
  <c r="G142" i="1"/>
  <c r="J141" i="1"/>
  <c r="I141" i="1"/>
  <c r="H141" i="1"/>
  <c r="G141" i="1"/>
  <c r="J140" i="1"/>
  <c r="I140" i="1"/>
  <c r="H140" i="1"/>
  <c r="G140" i="1"/>
  <c r="J139" i="1"/>
  <c r="I139" i="1"/>
  <c r="H139" i="1"/>
  <c r="G139" i="1"/>
  <c r="J138" i="1"/>
  <c r="I138" i="1"/>
  <c r="H138" i="1"/>
  <c r="G138" i="1"/>
  <c r="J137" i="1"/>
  <c r="I137" i="1"/>
  <c r="H137" i="1"/>
  <c r="G137" i="1"/>
  <c r="J136" i="1"/>
  <c r="I136" i="1"/>
  <c r="H136" i="1"/>
  <c r="G136" i="1"/>
  <c r="J135" i="1"/>
  <c r="I135" i="1"/>
  <c r="H135" i="1"/>
  <c r="G135" i="1"/>
  <c r="J134" i="1"/>
  <c r="I134" i="1"/>
  <c r="H134" i="1"/>
  <c r="G134" i="1"/>
  <c r="J133" i="1"/>
  <c r="I133" i="1"/>
  <c r="H133" i="1"/>
  <c r="G133" i="1"/>
  <c r="J132" i="1"/>
  <c r="I132" i="1"/>
  <c r="H132" i="1"/>
  <c r="G132" i="1"/>
  <c r="J131" i="1"/>
  <c r="I131" i="1"/>
  <c r="H131" i="1"/>
  <c r="G131" i="1"/>
  <c r="J130" i="1"/>
  <c r="I130" i="1"/>
  <c r="H130" i="1"/>
  <c r="G130" i="1"/>
  <c r="J129" i="1"/>
  <c r="I129" i="1"/>
  <c r="H129" i="1"/>
  <c r="G129" i="1"/>
  <c r="J128" i="1"/>
  <c r="I128" i="1"/>
  <c r="H128" i="1"/>
  <c r="G128" i="1"/>
  <c r="J127" i="1"/>
  <c r="I127" i="1"/>
  <c r="H127" i="1"/>
  <c r="G127" i="1"/>
  <c r="J126" i="1"/>
  <c r="I126" i="1"/>
  <c r="H126" i="1"/>
  <c r="G126" i="1"/>
  <c r="J125" i="1"/>
  <c r="I125" i="1"/>
  <c r="H125" i="1"/>
  <c r="G125" i="1"/>
  <c r="J124" i="1"/>
  <c r="I124" i="1"/>
  <c r="H124" i="1"/>
  <c r="G124" i="1"/>
  <c r="J123" i="1"/>
  <c r="I123" i="1"/>
  <c r="H123" i="1"/>
  <c r="G123" i="1"/>
  <c r="J122" i="1"/>
  <c r="I122" i="1"/>
  <c r="H122" i="1"/>
  <c r="G122" i="1"/>
  <c r="J121" i="1"/>
  <c r="I121" i="1"/>
  <c r="H121" i="1"/>
  <c r="G121" i="1"/>
  <c r="J120" i="1"/>
  <c r="I120" i="1"/>
  <c r="H120" i="1"/>
  <c r="G120" i="1"/>
  <c r="J119" i="1"/>
  <c r="I119" i="1"/>
  <c r="H119" i="1"/>
  <c r="G119" i="1"/>
  <c r="J118" i="1"/>
  <c r="I118" i="1"/>
  <c r="H118" i="1"/>
  <c r="G118" i="1"/>
  <c r="J117" i="1"/>
  <c r="I117" i="1"/>
  <c r="H117" i="1"/>
  <c r="G117" i="1"/>
  <c r="J116" i="1"/>
  <c r="I116" i="1"/>
  <c r="H116" i="1"/>
  <c r="G116" i="1"/>
  <c r="J115" i="1"/>
  <c r="I115" i="1"/>
  <c r="H115" i="1"/>
  <c r="G115" i="1"/>
  <c r="J114" i="1"/>
  <c r="I114" i="1"/>
  <c r="H114" i="1"/>
  <c r="G114" i="1"/>
  <c r="J113" i="1"/>
  <c r="I113" i="1"/>
  <c r="H113" i="1"/>
  <c r="G113" i="1"/>
  <c r="J112" i="1"/>
  <c r="I112" i="1"/>
  <c r="H112" i="1"/>
  <c r="G112" i="1"/>
  <c r="J111" i="1"/>
  <c r="I111" i="1"/>
  <c r="H111" i="1"/>
  <c r="G111" i="1"/>
  <c r="J110" i="1"/>
  <c r="I110" i="1"/>
  <c r="H110" i="1"/>
  <c r="G110" i="1"/>
  <c r="J109" i="1"/>
  <c r="I109" i="1"/>
  <c r="H109" i="1"/>
  <c r="G109" i="1"/>
  <c r="J108" i="1"/>
  <c r="I108" i="1"/>
  <c r="H108" i="1"/>
  <c r="G108" i="1"/>
  <c r="J107" i="1"/>
  <c r="I107" i="1"/>
  <c r="H107" i="1"/>
  <c r="G107" i="1"/>
  <c r="J106" i="1"/>
  <c r="I106" i="1"/>
  <c r="H106" i="1"/>
  <c r="G106" i="1"/>
  <c r="J105" i="1"/>
  <c r="I105" i="1"/>
  <c r="H105" i="1"/>
  <c r="G105" i="1"/>
  <c r="J104" i="1"/>
  <c r="I104" i="1"/>
  <c r="H104" i="1"/>
  <c r="G104" i="1"/>
  <c r="J103" i="1"/>
  <c r="I103" i="1"/>
  <c r="H103" i="1"/>
  <c r="G103" i="1"/>
  <c r="J102" i="1"/>
  <c r="I102" i="1"/>
  <c r="H102" i="1"/>
  <c r="G102" i="1"/>
  <c r="J101" i="1"/>
  <c r="I101" i="1"/>
  <c r="H101" i="1"/>
  <c r="G101" i="1"/>
  <c r="J100" i="1"/>
  <c r="I100" i="1"/>
  <c r="H100" i="1"/>
  <c r="G100" i="1"/>
  <c r="J99" i="1"/>
  <c r="I99" i="1"/>
  <c r="H99" i="1"/>
  <c r="G99" i="1"/>
  <c r="J98" i="1"/>
  <c r="I98" i="1"/>
  <c r="H98" i="1"/>
  <c r="G98" i="1"/>
  <c r="J97" i="1"/>
  <c r="I97" i="1"/>
  <c r="H97" i="1"/>
  <c r="G97" i="1"/>
  <c r="J96" i="1"/>
  <c r="I96" i="1"/>
  <c r="H96" i="1"/>
  <c r="G96" i="1"/>
  <c r="J95" i="1"/>
  <c r="I95" i="1"/>
  <c r="H95" i="1"/>
  <c r="G95" i="1"/>
  <c r="J94" i="1"/>
  <c r="I94" i="1"/>
  <c r="H94" i="1"/>
  <c r="G94" i="1"/>
  <c r="J93" i="1"/>
  <c r="I93" i="1"/>
  <c r="H93" i="1"/>
  <c r="G93" i="1"/>
  <c r="J92" i="1"/>
  <c r="I92" i="1"/>
  <c r="H92" i="1"/>
  <c r="G92" i="1"/>
  <c r="J91" i="1"/>
  <c r="I91" i="1"/>
  <c r="H91" i="1"/>
  <c r="G91" i="1"/>
  <c r="J90" i="1"/>
  <c r="I90" i="1"/>
  <c r="H90" i="1"/>
  <c r="G90" i="1"/>
  <c r="J89" i="1"/>
  <c r="I89" i="1"/>
  <c r="H89" i="1"/>
  <c r="G89" i="1"/>
  <c r="J88" i="1"/>
  <c r="I88" i="1"/>
  <c r="H88" i="1"/>
  <c r="G88" i="1"/>
  <c r="J87" i="1"/>
  <c r="I87" i="1"/>
  <c r="H87" i="1"/>
  <c r="G87" i="1"/>
  <c r="J86" i="1"/>
  <c r="I86" i="1"/>
  <c r="H86" i="1"/>
  <c r="G86" i="1"/>
  <c r="J85" i="1"/>
  <c r="I85" i="1"/>
  <c r="H85" i="1"/>
  <c r="G85" i="1"/>
  <c r="J84" i="1"/>
  <c r="I84" i="1"/>
  <c r="H84" i="1"/>
  <c r="G84" i="1"/>
  <c r="J83" i="1"/>
  <c r="I83" i="1"/>
  <c r="H83" i="1"/>
  <c r="G83" i="1"/>
  <c r="J82" i="1"/>
  <c r="I82" i="1"/>
  <c r="H82" i="1"/>
  <c r="G82" i="1"/>
  <c r="J81" i="1"/>
  <c r="I81" i="1"/>
  <c r="H81" i="1"/>
  <c r="G81" i="1"/>
  <c r="J80" i="1"/>
  <c r="I80" i="1"/>
  <c r="H80" i="1"/>
  <c r="G80" i="1"/>
  <c r="J79" i="1"/>
  <c r="I79" i="1"/>
  <c r="H79" i="1"/>
  <c r="G79" i="1"/>
  <c r="J78" i="1"/>
  <c r="I78" i="1"/>
  <c r="H78" i="1"/>
  <c r="G78" i="1"/>
  <c r="J77" i="1"/>
  <c r="I77" i="1"/>
  <c r="H77" i="1"/>
  <c r="G77" i="1"/>
  <c r="J76" i="1"/>
  <c r="I76" i="1"/>
  <c r="H76" i="1"/>
  <c r="G76" i="1"/>
  <c r="J75" i="1"/>
  <c r="I75" i="1"/>
  <c r="H75" i="1"/>
  <c r="G75" i="1"/>
  <c r="J74" i="1"/>
  <c r="I74" i="1"/>
  <c r="H74" i="1"/>
  <c r="G74" i="1"/>
  <c r="J73" i="1"/>
  <c r="I73" i="1"/>
  <c r="H73" i="1"/>
  <c r="G73" i="1"/>
  <c r="J72" i="1"/>
  <c r="I72" i="1"/>
  <c r="H72" i="1"/>
  <c r="G72" i="1"/>
  <c r="J71" i="1"/>
  <c r="I71" i="1"/>
  <c r="H71" i="1"/>
  <c r="G71" i="1"/>
  <c r="J70" i="1"/>
  <c r="I70" i="1"/>
  <c r="H70" i="1"/>
  <c r="G70" i="1"/>
  <c r="J69" i="1"/>
  <c r="I69" i="1"/>
  <c r="H69" i="1"/>
  <c r="G69" i="1"/>
  <c r="J68" i="1"/>
  <c r="I68" i="1"/>
  <c r="H68" i="1"/>
  <c r="G68" i="1"/>
  <c r="J67" i="1"/>
  <c r="I67" i="1"/>
  <c r="H67" i="1"/>
  <c r="G67" i="1"/>
  <c r="J66" i="1"/>
  <c r="I66" i="1"/>
  <c r="H66" i="1"/>
  <c r="G66" i="1"/>
  <c r="J65" i="1"/>
  <c r="I65" i="1"/>
  <c r="H65" i="1"/>
  <c r="G65" i="1"/>
  <c r="J64" i="1"/>
  <c r="I64" i="1"/>
  <c r="H64" i="1"/>
  <c r="G64" i="1"/>
  <c r="J63" i="1"/>
  <c r="I63" i="1"/>
  <c r="H63" i="1"/>
  <c r="G63" i="1"/>
  <c r="J62" i="1"/>
  <c r="I62" i="1"/>
  <c r="H62" i="1"/>
  <c r="G62" i="1"/>
  <c r="J61" i="1"/>
  <c r="I61" i="1"/>
  <c r="H61" i="1"/>
  <c r="G61" i="1"/>
  <c r="J60" i="1"/>
  <c r="I60" i="1"/>
  <c r="H60" i="1"/>
  <c r="G60" i="1"/>
  <c r="J59" i="1"/>
  <c r="I59" i="1"/>
  <c r="H59" i="1"/>
  <c r="G59" i="1"/>
  <c r="J58" i="1"/>
  <c r="I58" i="1"/>
  <c r="H58" i="1"/>
  <c r="G58" i="1"/>
  <c r="J57" i="1"/>
  <c r="I57" i="1"/>
  <c r="H57" i="1"/>
  <c r="G57" i="1"/>
  <c r="J56" i="1"/>
  <c r="I56" i="1"/>
  <c r="H56" i="1"/>
  <c r="G56" i="1"/>
  <c r="J55" i="1"/>
  <c r="I55" i="1"/>
  <c r="H55" i="1"/>
  <c r="G55" i="1"/>
  <c r="J54" i="1"/>
  <c r="I54" i="1"/>
  <c r="H54" i="1"/>
  <c r="G54" i="1"/>
  <c r="J53" i="1"/>
  <c r="I53" i="1"/>
  <c r="H53" i="1"/>
  <c r="G53" i="1"/>
  <c r="J52" i="1"/>
  <c r="I52" i="1"/>
  <c r="H52" i="1"/>
  <c r="G52" i="1"/>
  <c r="J51" i="1"/>
  <c r="I51" i="1"/>
  <c r="H51" i="1"/>
  <c r="G51" i="1"/>
  <c r="J50" i="1"/>
  <c r="I50" i="1"/>
  <c r="H50" i="1"/>
  <c r="G50" i="1"/>
  <c r="J49" i="1"/>
  <c r="I49" i="1"/>
  <c r="H49" i="1"/>
  <c r="G49" i="1"/>
  <c r="J48" i="1"/>
  <c r="I48" i="1"/>
  <c r="H48" i="1"/>
  <c r="G48" i="1"/>
  <c r="J47" i="1"/>
  <c r="I47" i="1"/>
  <c r="H47" i="1"/>
  <c r="G47" i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J38" i="1"/>
  <c r="I38" i="1"/>
  <c r="H38" i="1"/>
  <c r="G38" i="1"/>
  <c r="J37" i="1"/>
  <c r="I37" i="1"/>
  <c r="H37" i="1"/>
  <c r="G37" i="1"/>
  <c r="J36" i="1"/>
  <c r="I36" i="1"/>
  <c r="H36" i="1"/>
  <c r="G36" i="1"/>
  <c r="J35" i="1"/>
  <c r="I35" i="1"/>
  <c r="H35" i="1"/>
  <c r="G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  <c r="J4" i="1"/>
  <c r="I4" i="1"/>
  <c r="H4" i="1"/>
  <c r="G4" i="1"/>
  <c r="J3" i="1"/>
  <c r="I3" i="1"/>
  <c r="H3" i="1"/>
  <c r="G3" i="1"/>
  <c r="J2" i="1"/>
  <c r="I2" i="1"/>
  <c r="H2" i="1"/>
  <c r="G2" i="1"/>
</calcChain>
</file>

<file path=xl/sharedStrings.xml><?xml version="1.0" encoding="utf-8"?>
<sst xmlns="http://schemas.openxmlformats.org/spreadsheetml/2006/main" count="7464" uniqueCount="48">
  <si>
    <t>setosa</t>
  </si>
  <si>
    <t>versicolor</t>
  </si>
  <si>
    <t>virginica</t>
  </si>
  <si>
    <t>longitud del sépalo</t>
  </si>
  <si>
    <t>ancho del sépalo</t>
  </si>
  <si>
    <t>longitud del pétalo</t>
  </si>
  <si>
    <t>ancho del pétalo</t>
  </si>
  <si>
    <t>especies</t>
  </si>
  <si>
    <t>Bajo</t>
  </si>
  <si>
    <t>Medio</t>
  </si>
  <si>
    <t>Alto</t>
  </si>
  <si>
    <t>longitud del sépalo2</t>
  </si>
  <si>
    <t>ancho del sépalo2</t>
  </si>
  <si>
    <t>longitud del pétalo2</t>
  </si>
  <si>
    <t>ancho del pétalo2</t>
  </si>
  <si>
    <t>Entropia de S</t>
  </si>
  <si>
    <t>Entropia Alto</t>
  </si>
  <si>
    <t>Entropia Medio</t>
  </si>
  <si>
    <t>Entropia Bajo</t>
  </si>
  <si>
    <t>Ganancia</t>
  </si>
  <si>
    <t>Largo de sépalo</t>
  </si>
  <si>
    <t>Ancho de sépalo</t>
  </si>
  <si>
    <t>Largo de pétalo</t>
  </si>
  <si>
    <t>Ancho de pétalo</t>
  </si>
  <si>
    <t>Especies</t>
  </si>
  <si>
    <t>Iris-setosa</t>
  </si>
  <si>
    <t>Iris-versicolor</t>
  </si>
  <si>
    <t>Iris-virginica</t>
  </si>
  <si>
    <t>Longitud del sépalo</t>
  </si>
  <si>
    <t>Ancho del sépalo</t>
  </si>
  <si>
    <t>Longitud del pétalo</t>
  </si>
  <si>
    <t>Ancho del pétalo</t>
  </si>
  <si>
    <t>Longitud del sépalo 2</t>
  </si>
  <si>
    <t>Ancho del sépalo 2</t>
  </si>
  <si>
    <t>Longitud del pétalo 2</t>
  </si>
  <si>
    <t>Ancho del pétalo 2</t>
  </si>
  <si>
    <t>Ancho del sépalo2</t>
  </si>
  <si>
    <t>Longitud del sépalo2</t>
  </si>
  <si>
    <t>longitud del sépalo 2</t>
  </si>
  <si>
    <t>UNIVERSIDAD AUTÓNOMA DEL CARMEN</t>
  </si>
  <si>
    <t>FACULTAD DE CIENCIAS DE LA INFORMACIÓN</t>
  </si>
  <si>
    <t>INGENIERÍA EN SISTEMAS COMPUTACIONALES</t>
  </si>
  <si>
    <t>PROGRAMACIÓN AVANZADA</t>
  </si>
  <si>
    <t>9° SEMESTRE</t>
  </si>
  <si>
    <t>Profesor: Jesús Alejandro Flores Hernández</t>
  </si>
  <si>
    <t>nombre:</t>
  </si>
  <si>
    <t>christian Omar Ceballos Hernandez</t>
  </si>
  <si>
    <t xml:space="preserve">CÁLCULOS PARA DATASET IRIS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</si>
</sst>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1F2328"/>
      <name val="Arial"/>
      <family val="2"/>
    </font>
    <font>
      <sz val="11"/>
      <color rgb="FF1F2328"/>
      <name val="-apple-system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theme="9"/>
      </patternFill>
    </fill>
    <fill>
      <patternFill patternType="solid">
        <fgColor theme="7" tint="-0.499984740745262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theme="9"/>
      </patternFill>
    </fill>
    <fill>
      <patternFill patternType="solid">
        <fgColor theme="2" tint="-0.499984740745262"/>
        <bgColor theme="9"/>
      </patternFill>
    </fill>
    <fill>
      <patternFill patternType="solid">
        <fgColor theme="8" tint="-0.249977111117893"/>
        <bgColor theme="9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theme="9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0" fillId="6" borderId="0" xfId="0" applyFill="1"/>
    <xf numFmtId="0" fontId="3" fillId="5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3" fillId="6" borderId="1" xfId="0" applyFont="1" applyFill="1" applyBorder="1" applyAlignment="1">
      <alignment wrapText="1"/>
    </xf>
    <xf numFmtId="0" fontId="3" fillId="9" borderId="1" xfId="0" applyFont="1" applyFill="1" applyBorder="1" applyAlignment="1">
      <alignment wrapText="1"/>
    </xf>
    <xf numFmtId="17" fontId="0" fillId="0" borderId="0" xfId="0" applyNumberFormat="1"/>
    <xf numFmtId="0" fontId="0" fillId="5" borderId="2" xfId="0" applyFill="1" applyBorder="1"/>
    <xf numFmtId="0" fontId="0" fillId="8" borderId="2" xfId="0" applyFill="1" applyBorder="1"/>
    <xf numFmtId="0" fontId="5" fillId="5" borderId="2" xfId="0" applyFont="1" applyFill="1" applyBorder="1"/>
    <xf numFmtId="0" fontId="5" fillId="8" borderId="2" xfId="0" applyFont="1" applyFill="1" applyBorder="1"/>
    <xf numFmtId="0" fontId="0" fillId="7" borderId="2" xfId="0" applyFill="1" applyBorder="1"/>
    <xf numFmtId="0" fontId="5" fillId="7" borderId="2" xfId="0" applyFont="1" applyFill="1" applyBorder="1"/>
    <xf numFmtId="0" fontId="3" fillId="3" borderId="2" xfId="0" applyFont="1" applyFill="1" applyBorder="1" applyAlignment="1">
      <alignment wrapText="1"/>
    </xf>
    <xf numFmtId="0" fontId="3" fillId="8" borderId="2" xfId="0" applyFont="1" applyFill="1" applyBorder="1" applyAlignment="1">
      <alignment wrapText="1"/>
    </xf>
    <xf numFmtId="0" fontId="3" fillId="9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5" fillId="7" borderId="3" xfId="0" applyFont="1" applyFill="1" applyBorder="1"/>
    <xf numFmtId="0" fontId="0" fillId="7" borderId="3" xfId="0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3" fillId="2" borderId="7" xfId="0" applyFont="1" applyFill="1" applyBorder="1" applyAlignment="1">
      <alignment wrapText="1"/>
    </xf>
    <xf numFmtId="0" fontId="3" fillId="5" borderId="8" xfId="0" applyFont="1" applyFill="1" applyBorder="1" applyAlignment="1">
      <alignment wrapText="1"/>
    </xf>
    <xf numFmtId="0" fontId="3" fillId="3" borderId="7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3" fillId="8" borderId="3" xfId="0" applyFont="1" applyFill="1" applyBorder="1" applyAlignment="1">
      <alignment wrapText="1"/>
    </xf>
    <xf numFmtId="0" fontId="3" fillId="9" borderId="3" xfId="0" applyFont="1" applyFill="1" applyBorder="1" applyAlignment="1">
      <alignment wrapText="1"/>
    </xf>
    <xf numFmtId="0" fontId="3" fillId="5" borderId="10" xfId="0" applyFont="1" applyFill="1" applyBorder="1" applyAlignment="1">
      <alignment wrapText="1"/>
    </xf>
    <xf numFmtId="0" fontId="0" fillId="0" borderId="2" xfId="0" applyBorder="1"/>
    <xf numFmtId="0" fontId="0" fillId="0" borderId="10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6" xfId="0" applyBorder="1"/>
    <xf numFmtId="0" fontId="0" fillId="0" borderId="4" xfId="0" applyBorder="1"/>
    <xf numFmtId="0" fontId="3" fillId="8" borderId="0" xfId="0" applyFont="1" applyFill="1" applyAlignment="1">
      <alignment wrapText="1"/>
    </xf>
    <xf numFmtId="0" fontId="3" fillId="9" borderId="0" xfId="0" applyFont="1" applyFill="1" applyAlignment="1">
      <alignment wrapText="1"/>
    </xf>
    <xf numFmtId="0" fontId="3" fillId="3" borderId="3" xfId="0" applyFont="1" applyFill="1" applyBorder="1" applyAlignment="1">
      <alignment wrapText="1"/>
    </xf>
    <xf numFmtId="0" fontId="5" fillId="12" borderId="3" xfId="0" applyFont="1" applyFill="1" applyBorder="1"/>
    <xf numFmtId="0" fontId="0" fillId="12" borderId="3" xfId="0" applyFill="1" applyBorder="1"/>
    <xf numFmtId="0" fontId="0" fillId="0" borderId="5" xfId="0" applyBorder="1"/>
    <xf numFmtId="0" fontId="3" fillId="15" borderId="2" xfId="0" applyFont="1" applyFill="1" applyBorder="1" applyAlignment="1">
      <alignment wrapText="1"/>
    </xf>
    <xf numFmtId="0" fontId="3" fillId="14" borderId="2" xfId="0" applyFont="1" applyFill="1" applyBorder="1" applyAlignment="1">
      <alignment wrapText="1"/>
    </xf>
    <xf numFmtId="0" fontId="3" fillId="15" borderId="8" xfId="0" applyFont="1" applyFill="1" applyBorder="1" applyAlignment="1">
      <alignment wrapText="1"/>
    </xf>
    <xf numFmtId="0" fontId="3" fillId="15" borderId="3" xfId="0" applyFont="1" applyFill="1" applyBorder="1" applyAlignment="1">
      <alignment wrapText="1"/>
    </xf>
    <xf numFmtId="0" fontId="3" fillId="14" borderId="3" xfId="0" applyFont="1" applyFill="1" applyBorder="1" applyAlignment="1">
      <alignment wrapText="1"/>
    </xf>
    <xf numFmtId="0" fontId="3" fillId="15" borderId="10" xfId="0" applyFont="1" applyFill="1" applyBorder="1" applyAlignment="1">
      <alignment wrapText="1"/>
    </xf>
    <xf numFmtId="0" fontId="5" fillId="13" borderId="3" xfId="0" applyFont="1" applyFill="1" applyBorder="1"/>
    <xf numFmtId="0" fontId="0" fillId="13" borderId="3" xfId="0" applyFill="1" applyBorder="1"/>
    <xf numFmtId="0" fontId="3" fillId="16" borderId="2" xfId="0" applyFont="1" applyFill="1" applyBorder="1" applyAlignment="1">
      <alignment wrapText="1"/>
    </xf>
    <xf numFmtId="0" fontId="3" fillId="16" borderId="3" xfId="0" applyFont="1" applyFill="1" applyBorder="1" applyAlignment="1">
      <alignment wrapText="1"/>
    </xf>
    <xf numFmtId="0" fontId="3" fillId="17" borderId="2" xfId="0" applyFont="1" applyFill="1" applyBorder="1" applyAlignment="1">
      <alignment wrapText="1"/>
    </xf>
    <xf numFmtId="0" fontId="3" fillId="13" borderId="8" xfId="0" applyFont="1" applyFill="1" applyBorder="1" applyAlignment="1">
      <alignment wrapText="1"/>
    </xf>
    <xf numFmtId="0" fontId="3" fillId="17" borderId="3" xfId="0" applyFont="1" applyFill="1" applyBorder="1" applyAlignment="1">
      <alignment wrapText="1"/>
    </xf>
    <xf numFmtId="0" fontId="3" fillId="13" borderId="10" xfId="0" applyFont="1" applyFill="1" applyBorder="1" applyAlignment="1">
      <alignment wrapText="1"/>
    </xf>
    <xf numFmtId="0" fontId="1" fillId="18" borderId="4" xfId="0" applyFont="1" applyFill="1" applyBorder="1"/>
    <xf numFmtId="0" fontId="1" fillId="18" borderId="5" xfId="0" applyFont="1" applyFill="1" applyBorder="1"/>
    <xf numFmtId="0" fontId="1" fillId="18" borderId="6" xfId="0" applyFont="1" applyFill="1" applyBorder="1"/>
    <xf numFmtId="0" fontId="3" fillId="10" borderId="3" xfId="0" applyFont="1" applyFill="1" applyBorder="1" applyAlignment="1">
      <alignment wrapText="1"/>
    </xf>
    <xf numFmtId="0" fontId="3" fillId="10" borderId="2" xfId="0" applyFont="1" applyFill="1" applyBorder="1" applyAlignment="1">
      <alignment wrapText="1"/>
    </xf>
    <xf numFmtId="0" fontId="1" fillId="19" borderId="4" xfId="0" applyFont="1" applyFill="1" applyBorder="1"/>
    <xf numFmtId="0" fontId="1" fillId="19" borderId="5" xfId="0" applyFont="1" applyFill="1" applyBorder="1"/>
    <xf numFmtId="0" fontId="1" fillId="19" borderId="6" xfId="0" applyFont="1" applyFill="1" applyBorder="1"/>
    <xf numFmtId="0" fontId="0" fillId="20" borderId="4" xfId="0" applyFill="1" applyBorder="1"/>
    <xf numFmtId="0" fontId="0" fillId="20" borderId="5" xfId="0" applyFill="1" applyBorder="1"/>
    <xf numFmtId="0" fontId="0" fillId="20" borderId="6" xfId="0" applyFill="1" applyBorder="1"/>
    <xf numFmtId="0" fontId="1" fillId="21" borderId="4" xfId="0" applyFont="1" applyFill="1" applyBorder="1"/>
    <xf numFmtId="0" fontId="1" fillId="21" borderId="5" xfId="0" applyFont="1" applyFill="1" applyBorder="1"/>
    <xf numFmtId="0" fontId="1" fillId="21" borderId="6" xfId="0" applyFont="1" applyFill="1" applyBorder="1"/>
    <xf numFmtId="0" fontId="1" fillId="22" borderId="2" xfId="0" applyFont="1" applyFill="1" applyBorder="1"/>
    <xf numFmtId="0" fontId="3" fillId="3" borderId="9" xfId="0" applyFont="1" applyFill="1" applyBorder="1" applyAlignment="1">
      <alignment wrapText="1"/>
    </xf>
    <xf numFmtId="0" fontId="1" fillId="23" borderId="4" xfId="0" applyFont="1" applyFill="1" applyBorder="1"/>
    <xf numFmtId="0" fontId="1" fillId="23" borderId="5" xfId="0" applyFont="1" applyFill="1" applyBorder="1"/>
    <xf numFmtId="0" fontId="1" fillId="23" borderId="6" xfId="0" applyFont="1" applyFill="1" applyBorder="1"/>
    <xf numFmtId="0" fontId="1" fillId="22" borderId="4" xfId="0" applyFont="1" applyFill="1" applyBorder="1"/>
    <xf numFmtId="0" fontId="1" fillId="22" borderId="5" xfId="0" applyFont="1" applyFill="1" applyBorder="1"/>
    <xf numFmtId="0" fontId="1" fillId="22" borderId="6" xfId="0" applyFont="1" applyFill="1" applyBorder="1"/>
    <xf numFmtId="0" fontId="0" fillId="24" borderId="4" xfId="0" applyFill="1" applyBorder="1"/>
    <xf numFmtId="0" fontId="0" fillId="24" borderId="5" xfId="0" applyFill="1" applyBorder="1"/>
    <xf numFmtId="0" fontId="0" fillId="24" borderId="6" xfId="0" applyFill="1" applyBorder="1"/>
    <xf numFmtId="0" fontId="1" fillId="11" borderId="2" xfId="0" applyFont="1" applyFill="1" applyBorder="1"/>
    <xf numFmtId="0" fontId="1" fillId="11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7" xfId="0" applyFont="1" applyFill="1" applyBorder="1" applyAlignment="1">
      <alignment wrapText="1"/>
    </xf>
    <xf numFmtId="0" fontId="0" fillId="25" borderId="4" xfId="0" applyFill="1" applyBorder="1"/>
    <xf numFmtId="0" fontId="0" fillId="25" borderId="5" xfId="0" applyFill="1" applyBorder="1"/>
    <xf numFmtId="0" fontId="0" fillId="25" borderId="6" xfId="0" applyFill="1" applyBorder="1"/>
    <xf numFmtId="0" fontId="3" fillId="3" borderId="8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0" fillId="26" borderId="4" xfId="0" applyFill="1" applyBorder="1"/>
    <xf numFmtId="0" fontId="0" fillId="26" borderId="5" xfId="0" applyFill="1" applyBorder="1"/>
    <xf numFmtId="0" fontId="0" fillId="26" borderId="6" xfId="0" applyFill="1" applyBorder="1"/>
    <xf numFmtId="0" fontId="0" fillId="27" borderId="4" xfId="0" applyFill="1" applyBorder="1"/>
    <xf numFmtId="0" fontId="0" fillId="27" borderId="5" xfId="0" applyFill="1" applyBorder="1"/>
    <xf numFmtId="0" fontId="0" fillId="27" borderId="6" xfId="0" applyFill="1" applyBorder="1"/>
    <xf numFmtId="0" fontId="0" fillId="28" borderId="4" xfId="0" applyFill="1" applyBorder="1"/>
    <xf numFmtId="0" fontId="0" fillId="28" borderId="5" xfId="0" applyFill="1" applyBorder="1"/>
    <xf numFmtId="0" fontId="0" fillId="28" borderId="6" xfId="0" applyFill="1" applyBorder="1"/>
    <xf numFmtId="0" fontId="1" fillId="29" borderId="4" xfId="0" applyFont="1" applyFill="1" applyBorder="1"/>
    <xf numFmtId="0" fontId="1" fillId="29" borderId="5" xfId="0" applyFont="1" applyFill="1" applyBorder="1"/>
    <xf numFmtId="0" fontId="1" fillId="29" borderId="6" xfId="0" applyFont="1" applyFill="1" applyBorder="1"/>
    <xf numFmtId="0" fontId="3" fillId="30" borderId="2" xfId="0" applyFont="1" applyFill="1" applyBorder="1" applyAlignment="1">
      <alignment wrapText="1"/>
    </xf>
    <xf numFmtId="0" fontId="3" fillId="30" borderId="3" xfId="0" applyFont="1" applyFill="1" applyBorder="1" applyAlignment="1">
      <alignment wrapText="1"/>
    </xf>
    <xf numFmtId="0" fontId="7" fillId="0" borderId="0" xfId="0" applyFont="1"/>
    <xf numFmtId="0" fontId="7" fillId="0" borderId="13" xfId="0" applyFont="1" applyBorder="1"/>
    <xf numFmtId="0" fontId="7" fillId="0" borderId="14" xfId="0" applyFont="1" applyBorder="1"/>
    <xf numFmtId="0" fontId="7" fillId="0" borderId="4" xfId="0" applyFont="1" applyBorder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1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</cellXfs>
  <cellStyles count="1">
    <cellStyle name="Normal" xfId="0" builtinId="0"/>
  </cellStyles>
  <dxfs count="5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7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00B0F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5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7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00B0F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7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00B0F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7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8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5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7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8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7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8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7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6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5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5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rgb="FF70AD47"/>
        </left>
        <right style="thin">
          <color rgb="FF70AD47"/>
        </right>
        <top style="thin">
          <color rgb="FF70AD47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rgb="FF000000"/>
          <bgColor rgb="FFF6F8F9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2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8" tint="0.399975585192419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8" tint="0.399975585192419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8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8" tint="0.399975585192419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2" tint="-0.49998474074526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8" tint="0.399975585192419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8" tint="0.399975585192419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8" tint="0.399975585192419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8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rgb="FF70AD47"/>
        </left>
        <right style="thin">
          <color rgb="FF70AD47"/>
        </right>
        <top style="thin">
          <color rgb="FF70AD47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rgb="FF000000"/>
          <bgColor rgb="FFF6F8F9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rgb="FF70AD47"/>
        </left>
        <right style="thin">
          <color rgb="FF70AD47"/>
        </right>
        <top style="thin">
          <color rgb="FF70AD47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8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rgb="FF70AD47"/>
        </left>
        <right style="thin">
          <color rgb="FF70AD47"/>
        </right>
        <top style="thin">
          <color rgb="FF70AD47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rgb="FF000000"/>
          <bgColor rgb="FFF6F8F9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8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8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8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8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rgb="FF70AD47"/>
        </left>
        <right style="thin">
          <color rgb="FF70AD47"/>
        </right>
        <top style="thin">
          <color rgb="FF70AD47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rgb="FF000000"/>
          <bgColor rgb="FFF6F8F9"/>
        </patternFill>
      </fill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8" tint="0.3999755851924192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7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7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rgb="FF000000"/>
          <bgColor rgb="FFF6F8F9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7" tint="0.399975585192419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rgb="FF000000"/>
          <bgColor rgb="FFF6F8F9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8" tint="0.3999755851924192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7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rgb="FF000000"/>
          <bgColor rgb="FFF6F8F9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7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7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rgb="FF000000"/>
          <bgColor rgb="FFF6F8F9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8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7" tint="0.399975585192419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rgb="FF000000"/>
          <bgColor rgb="FFF6F8F9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8" tint="0.3999755851924192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7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rgb="FF000000"/>
          <bgColor rgb="FFF6F8F9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rgb="FF7030A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7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rgb="FF000000"/>
          <bgColor rgb="FFF6F8F9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7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rgb="FF000000"/>
          <bgColor rgb="FFF6F8F9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rgb="FF0070C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8" tint="0.3999755851924192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8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8" tint="0.399975585192419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theme="7" tint="0.399975585192419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-apple-system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rgb="FF7030A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110714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677A10D-4C25-4369-945B-DF1BDBC0A5BF}"/>
            </a:ext>
          </a:extLst>
        </xdr:cNvPr>
        <xdr:cNvSpPr>
          <a:spLocks noChangeAspect="1" noChangeArrowheads="1"/>
        </xdr:cNvSpPr>
      </xdr:nvSpPr>
      <xdr:spPr bwMode="auto">
        <a:xfrm>
          <a:off x="129540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22411</xdr:colOff>
      <xdr:row>2</xdr:row>
      <xdr:rowOff>100852</xdr:rowOff>
    </xdr:from>
    <xdr:to>
      <xdr:col>13</xdr:col>
      <xdr:colOff>45170</xdr:colOff>
      <xdr:row>10</xdr:row>
      <xdr:rowOff>145674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054F70-7206-4A64-BBED-018608162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6999" y="481852"/>
          <a:ext cx="1154553" cy="1624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2830FA7-7EF0-4932-8B6B-F96D925A2441}"/>
            </a:ext>
          </a:extLst>
        </xdr:cNvPr>
        <xdr:cNvSpPr>
          <a:spLocks noChangeAspect="1" noChangeArrowheads="1"/>
        </xdr:cNvSpPr>
      </xdr:nvSpPr>
      <xdr:spPr bwMode="auto">
        <a:xfrm>
          <a:off x="11811000" y="1905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60FCF5F-E371-467E-8B9A-4ABC9DFCFC2C}"/>
            </a:ext>
          </a:extLst>
        </xdr:cNvPr>
        <xdr:cNvSpPr>
          <a:spLocks noChangeAspect="1" noChangeArrowheads="1"/>
        </xdr:cNvSpPr>
      </xdr:nvSpPr>
      <xdr:spPr bwMode="auto">
        <a:xfrm>
          <a:off x="11811000" y="1905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4AC39CB-34CF-4313-B633-03E939ED96B0}"/>
            </a:ext>
          </a:extLst>
        </xdr:cNvPr>
        <xdr:cNvSpPr>
          <a:spLocks noChangeAspect="1" noChangeArrowheads="1"/>
        </xdr:cNvSpPr>
      </xdr:nvSpPr>
      <xdr:spPr bwMode="auto">
        <a:xfrm>
          <a:off x="11811000" y="1905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iso/Downloads/Iris%20Dataset%20v1.xlsx" TargetMode="External"/><Relationship Id="rId2" Type="http://schemas.openxmlformats.org/officeDocument/2006/relationships/externalLinkPath" Target="file:///C:\Users\Reiso\Downloads\Iris%20Dataset%20v1.xlsx" TargetMode="External"/><Relationship Id="rId1" Type="http://schemas.openxmlformats.org/officeDocument/2006/relationships/externalLinkPath" Target="/Users/Reiso/Downloads/Iris%20Dataset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RIS DATASET"/>
      <sheetName val="DISCRETOS"/>
      <sheetName val="Iris Dataset v1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93003A-3486-41DB-B774-EB997C3ED8FD}" name="Tabla2" displayName="Tabla2" ref="B157:J187" totalsRowShown="0" headerRowDxfId="565" dataDxfId="563" headerRowBorderDxfId="564" tableBorderDxfId="562" totalsRowBorderDxfId="561">
  <autoFilter ref="B157:J187" xr:uid="{B093003A-3486-41DB-B774-EB997C3ED8FD}"/>
  <tableColumns count="9">
    <tableColumn id="1" xr3:uid="{37CE11A1-F258-4790-ABB7-52F1798D8D9A}" name="Longitud del sépalo" dataDxfId="560"/>
    <tableColumn id="2" xr3:uid="{8113E0ED-8540-49BF-865E-A4FA47CD2754}" name="Ancho del sépalo" dataDxfId="559"/>
    <tableColumn id="3" xr3:uid="{90EF8676-05DE-41B1-9A2A-E078C39FDD6F}" name="Longitud del pétalo" dataDxfId="558"/>
    <tableColumn id="4" xr3:uid="{685FD432-7E43-4D79-8C52-F9DBCCB28B93}" name="Ancho del pétalo" dataDxfId="557"/>
    <tableColumn id="5" xr3:uid="{B856BC8C-B12F-4AF6-B804-46EE53F91D91}" name="Especies" dataDxfId="556"/>
    <tableColumn id="6" xr3:uid="{1C290F2A-A875-4317-9D55-38CFB1A53C3E}" name="Longitud del sépalo 2" dataDxfId="555"/>
    <tableColumn id="7" xr3:uid="{A01C31A8-8EFF-4972-B1FB-C411754EE674}" name="Ancho del sépalo 2" dataDxfId="554"/>
    <tableColumn id="8" xr3:uid="{23ABA4DE-A918-4E51-B756-0CCEFC2325A8}" name="Longitud del pétalo 2" dataDxfId="553"/>
    <tableColumn id="9" xr3:uid="{4806B964-AEE1-4E0E-8C3D-5563904524A1}" name="Ancho del pétalo 2" dataDxfId="55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A24A98-3876-4888-AABB-894E5A7A0DF6}" name="Tabla3" displayName="Tabla3" ref="L157:T218" totalsRowShown="0" headerRowDxfId="551" dataDxfId="549" headerRowBorderDxfId="550" tableBorderDxfId="548" totalsRowBorderDxfId="547">
  <autoFilter ref="L157:T218" xr:uid="{A6A24A98-3876-4888-AABB-894E5A7A0DF6}"/>
  <tableColumns count="9">
    <tableColumn id="1" xr3:uid="{419816F8-6109-4F5B-871B-BEE40EABC58D}" name="Longitud del sépalo" dataDxfId="546"/>
    <tableColumn id="2" xr3:uid="{87E47794-E911-422B-94C0-B9099688DC09}" name="Ancho del sépalo" dataDxfId="545"/>
    <tableColumn id="3" xr3:uid="{7506BBDD-380E-4BBE-A5C6-026A1E9EE105}" name="Longitud del pétalo" dataDxfId="544"/>
    <tableColumn id="4" xr3:uid="{DEA64709-C4DD-4D02-BF01-12C81FCD24E8}" name="Ancho del pétalo" dataDxfId="543"/>
    <tableColumn id="5" xr3:uid="{3DBC2A2A-0592-4768-A043-70F5D17F5672}" name="Especies" dataDxfId="542"/>
    <tableColumn id="6" xr3:uid="{90517ABA-733D-4F7A-9217-4AEB1B8D48E4}" name="Longitud del sépalo 2" dataDxfId="541"/>
    <tableColumn id="7" xr3:uid="{B8890A0D-590F-4C29-B5C6-4CC625D846B9}" name="Ancho del sépalo 2" dataDxfId="540"/>
    <tableColumn id="8" xr3:uid="{AC331DAD-336F-4019-BE92-9115A359BEFE}" name="Longitud del pétalo 2" dataDxfId="539"/>
    <tableColumn id="9" xr3:uid="{F64F1235-4BCB-4FC7-B41B-5AE7B0AF2226}" name="Ancho del pétalo 2" dataDxfId="538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F31AB4-FD04-450D-983F-D043A0A0B9FB}" name="Tabla4" displayName="Tabla4" ref="V157:AD216" totalsRowShown="0" headerRowDxfId="537" dataDxfId="535" headerRowBorderDxfId="536" tableBorderDxfId="534" totalsRowBorderDxfId="533">
  <autoFilter ref="V157:AD216" xr:uid="{54F31AB4-FD04-450D-983F-D043A0A0B9FB}"/>
  <tableColumns count="9">
    <tableColumn id="1" xr3:uid="{CA2C19AB-EC7D-43DD-88D3-BA1DBC107325}" name="Longitud del sépalo" dataDxfId="532"/>
    <tableColumn id="2" xr3:uid="{A1CE2307-B242-4025-8DFD-05BFBEE78AFE}" name="Ancho del sépalo" dataDxfId="531"/>
    <tableColumn id="3" xr3:uid="{B2324EF6-3019-4D2C-AA74-B6FBC79E73C5}" name="Longitud del pétalo" dataDxfId="530"/>
    <tableColumn id="4" xr3:uid="{EDB68917-54CB-4085-B849-55FB1853363A}" name="Ancho del pétalo" dataDxfId="529"/>
    <tableColumn id="5" xr3:uid="{C2C0E46A-56D4-4E40-AE52-841E704E3366}" name="Especies" dataDxfId="528"/>
    <tableColumn id="6" xr3:uid="{2C3B73F3-99CE-4F60-BD0E-04BEB29787D4}" name="Longitud del sépalo 2" dataDxfId="527"/>
    <tableColumn id="7" xr3:uid="{C1591C93-A0BC-4834-A708-34FEACCBB73D}" name="Ancho del sépalo 2" dataDxfId="526"/>
    <tableColumn id="8" xr3:uid="{8649158E-5109-4202-AB73-D484CC162063}" name="Longitud del pétalo 2" dataDxfId="525"/>
    <tableColumn id="9" xr3:uid="{DD2EF200-22A8-45F3-9C0E-1ED860446409}" name="Ancho del pétalo 2" dataDxfId="524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5BA5AA5-8918-4C53-8953-C171FF2175E8}" name="DataIris" displayName="DataIris" ref="B1:F151" totalsRowShown="0" headerRowDxfId="523" dataDxfId="521" headerRowBorderDxfId="522" tableBorderDxfId="520">
  <autoFilter ref="B1:F151" xr:uid="{B5BA5AA5-8918-4C53-8953-C171FF2175E8}"/>
  <sortState xmlns:xlrd2="http://schemas.microsoft.com/office/spreadsheetml/2017/richdata2" ref="B2:F151">
    <sortCondition ref="B1:B151"/>
  </sortState>
  <tableColumns count="5">
    <tableColumn id="1" xr3:uid="{401F43A8-E0BC-436E-8CA7-6A38B59739D1}" name="Largo de sépalo" dataDxfId="519"/>
    <tableColumn id="2" xr3:uid="{0EE00D9D-7275-4D9A-897D-6C20AB46CE51}" name="Ancho de sépalo" dataDxfId="518"/>
    <tableColumn id="3" xr3:uid="{DD74CD6C-3572-4DA8-BBD5-BF5316FE248F}" name="Largo de pétalo" dataDxfId="517"/>
    <tableColumn id="4" xr3:uid="{5B602456-B820-485F-B275-0C26E4F198D6}" name="Ancho de pétalo" dataDxfId="516"/>
    <tableColumn id="5" xr3:uid="{3DD7C54E-BB23-4CB6-9671-8B6464002BEB}" name="Especies" dataDxfId="515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AABEE39-21FC-4EAB-A352-0D74BC3EAA93}" name="Tabla5" displayName="Tabla5" ref="G1:K151" totalsRowShown="0" headerRowDxfId="514" headerRowBorderDxfId="513" tableBorderDxfId="512">
  <autoFilter ref="G1:K151" xr:uid="{EAABEE39-21FC-4EAB-A352-0D74BC3EAA93}"/>
  <sortState xmlns:xlrd2="http://schemas.microsoft.com/office/spreadsheetml/2017/richdata2" ref="G2:K151">
    <sortCondition descending="1" ref="G1:G151"/>
  </sortState>
  <tableColumns count="5">
    <tableColumn id="1" xr3:uid="{B5784D75-0110-4CCB-BC73-576073225067}" name="Largo de sépalo" dataDxfId="511">
      <calculatedColumnFormula>IF([1]!DataIris[[#This Row],[Largo de sépalo]]&lt;=5.5,"CORTO",IF([1]!DataIris[[#This Row],[Largo de sépalo]]&lt;=6.7,"MEDIANO","LARGO"))</calculatedColumnFormula>
    </tableColumn>
    <tableColumn id="2" xr3:uid="{95213432-9977-4236-8812-671CDDCF57B1}" name="Ancho de sépalo" dataDxfId="510">
      <calculatedColumnFormula>IF([1]!DataIris[[#This Row],[Ancho de sépalo]]&lt;=3.2,"ESTRECHO","ANCHO")</calculatedColumnFormula>
    </tableColumn>
    <tableColumn id="3" xr3:uid="{91ECDDC6-A4AD-463A-980A-D4424C62FBD9}" name="Largo de pétalo" dataDxfId="509">
      <calculatedColumnFormula>IF([1]!DataIris[[#This Row],[Largo de pétalo]]&lt;=3,"CORTO",IF([1]!DataIris[[#This Row],[Largo de pétalo]]&lt;=5,"MEDIANO","LARGO"))</calculatedColumnFormula>
    </tableColumn>
    <tableColumn id="4" xr3:uid="{F410D06B-6B1E-4EE9-B843-BB51BDA2E83E}" name="Ancho de pétalo" dataDxfId="508">
      <calculatedColumnFormula>IF([1]!DataIris[[#This Row],[Ancho de pétalo]]&lt;=1.4,"ESTRECHO","ANCHO")</calculatedColumnFormula>
    </tableColumn>
    <tableColumn id="5" xr3:uid="{2FF07835-634D-4469-8558-8AB61429724A}" name="Especies" dataDxfId="507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0B4ACD-0DB1-443C-9531-88706346D497}" name="Tabla27" displayName="Tabla27" ref="B157:J176" totalsRowShown="0" headerRowDxfId="506" dataDxfId="504" headerRowBorderDxfId="505" tableBorderDxfId="503" totalsRowBorderDxfId="502">
  <autoFilter ref="B157:J176" xr:uid="{B093003A-3486-41DB-B774-EB997C3ED8FD}"/>
  <tableColumns count="9">
    <tableColumn id="1" xr3:uid="{0C166E65-C068-47BA-BF42-F939A473FCBB}" name="Longitud del sépalo" dataDxfId="501"/>
    <tableColumn id="2" xr3:uid="{AEA73C36-ED92-41DE-9C73-F58798722BB2}" name="Ancho del sépalo" dataDxfId="500"/>
    <tableColumn id="3" xr3:uid="{9440F55F-C0A4-4C3D-969E-13C26A35657B}" name="Longitud del pétalo" dataDxfId="499"/>
    <tableColumn id="4" xr3:uid="{4F57F8A2-FAC4-449E-BAAA-F73C7709C9BC}" name="Ancho del pétalo" dataDxfId="498"/>
    <tableColumn id="5" xr3:uid="{10965176-BF2A-44D4-B1CE-FE1B0617EBCE}" name="Especies" dataDxfId="497"/>
    <tableColumn id="6" xr3:uid="{9AB04B2A-3F5D-40A4-A5BF-EE89DED9AB86}" name="Longitud del sépalo 2" dataDxfId="496"/>
    <tableColumn id="7" xr3:uid="{C50E9EB6-3AA1-4D2D-B656-8358BBEF46A1}" name="Ancho del sépalo 2" dataDxfId="495"/>
    <tableColumn id="8" xr3:uid="{35C955E1-209E-4FCD-A12C-A4534DB57D8D}" name="Longitud del pétalo 2" dataDxfId="494"/>
    <tableColumn id="9" xr3:uid="{7765BCB2-1AF6-4E97-B497-5DEA52B3CF5C}" name="Ancho del pétalo 2" dataDxfId="493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3587BA-CED3-41C8-8C9A-6D47354F308C}" name="Tabla38" displayName="Tabla38" ref="L157:T231" totalsRowShown="0" headerRowDxfId="492" dataDxfId="490" headerRowBorderDxfId="491" tableBorderDxfId="489" totalsRowBorderDxfId="488">
  <autoFilter ref="L157:T231" xr:uid="{A6A24A98-3876-4888-AABB-894E5A7A0DF6}"/>
  <tableColumns count="9">
    <tableColumn id="1" xr3:uid="{46554619-B1BB-432E-A040-3C674248336E}" name="Longitud del sépalo" dataDxfId="487"/>
    <tableColumn id="2" xr3:uid="{BABE907E-05A4-40FC-935A-680297E17552}" name="Ancho del sépalo" dataDxfId="486"/>
    <tableColumn id="3" xr3:uid="{A2B457EA-BA17-40E1-80DA-49641D24FCAC}" name="Longitud del pétalo" dataDxfId="485"/>
    <tableColumn id="4" xr3:uid="{B4E8EE55-6285-4D9E-8E47-E8A791DB4C96}" name="Ancho del pétalo" dataDxfId="484"/>
    <tableColumn id="5" xr3:uid="{1507668A-ADE3-467B-AF68-0472F04750E6}" name="Especies" dataDxfId="483"/>
    <tableColumn id="6" xr3:uid="{70482084-FB7B-4F43-8E15-35FC7F2B56AF}" name="Longitud del sépalo 2" dataDxfId="482"/>
    <tableColumn id="7" xr3:uid="{E4A036BF-10B5-4306-8357-459631A7B71F}" name="Ancho del sépalo 2" dataDxfId="481"/>
    <tableColumn id="8" xr3:uid="{F7331D5B-3679-4FF6-BF6C-1B16E7A25F36}" name="Longitud del pétalo 2" dataDxfId="480"/>
    <tableColumn id="9" xr3:uid="{EF8DC084-C476-442D-8C35-1327483D94F9}" name="Ancho del pétalo 2" dataDxfId="479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A69013D-4B47-4B35-B681-2507D63C879B}" name="Tabla49" displayName="Tabla49" ref="V157:AD214" totalsRowShown="0" headerRowDxfId="478" dataDxfId="476" headerRowBorderDxfId="477" tableBorderDxfId="475" totalsRowBorderDxfId="474">
  <autoFilter ref="V157:AD214" xr:uid="{54F31AB4-FD04-450D-983F-D043A0A0B9FB}"/>
  <tableColumns count="9">
    <tableColumn id="1" xr3:uid="{8462D006-5BF6-4C5D-948A-A6D72465418B}" name="Longitud del sépalo" dataDxfId="473"/>
    <tableColumn id="2" xr3:uid="{111FB0B2-B7E4-405B-8F55-A814C9D74A16}" name="Ancho del sépalo" dataDxfId="472"/>
    <tableColumn id="3" xr3:uid="{B7726854-E7C9-48D2-B359-71EE436DB128}" name="Longitud del pétalo" dataDxfId="471"/>
    <tableColumn id="4" xr3:uid="{468EC691-E8CD-4FE9-B2E1-ED8B7320F109}" name="Ancho del pétalo" dataDxfId="470"/>
    <tableColumn id="5" xr3:uid="{DB7B4A90-8EA1-46F0-87E9-22E1BA6778FB}" name="Especies" dataDxfId="469"/>
    <tableColumn id="6" xr3:uid="{A3CD6F6A-0010-4F76-99CE-2CF25CA5C167}" name="Longitud del sépalo 2" dataDxfId="468"/>
    <tableColumn id="7" xr3:uid="{7D67EEE9-C049-479D-8531-2888FDE4B6A6}" name="Ancho del sépalo 2" dataDxfId="467"/>
    <tableColumn id="8" xr3:uid="{E24C6737-53EE-4CFC-B065-F4CB68B7BA18}" name="Longitud del pétalo 2" dataDxfId="466"/>
    <tableColumn id="9" xr3:uid="{A9B74A79-7B26-4EA5-A954-94D115A916B6}" name="Ancho del pétalo 2" dataDxfId="465"/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90639B3C-0EEF-4807-A443-4C4F06572EDA}" name="DataIris48" displayName="DataIris48" ref="B1:F151" totalsRowShown="0" headerRowDxfId="464" dataDxfId="462" headerRowBorderDxfId="463" tableBorderDxfId="461">
  <autoFilter ref="B1:F151" xr:uid="{90639B3C-0EEF-4807-A443-4C4F06572EDA}"/>
  <sortState xmlns:xlrd2="http://schemas.microsoft.com/office/spreadsheetml/2017/richdata2" ref="B2:F151">
    <sortCondition ref="B1:B151"/>
  </sortState>
  <tableColumns count="5">
    <tableColumn id="1" xr3:uid="{7CC22B2F-8044-4BA7-8737-D314F84D3A8E}" name="Largo de sépalo" dataDxfId="460"/>
    <tableColumn id="2" xr3:uid="{F1DA4F53-CC9D-438C-B0FD-CCBECA2DF0A9}" name="Ancho de sépalo" dataDxfId="459"/>
    <tableColumn id="3" xr3:uid="{646D685F-3ED9-40C3-AB3D-E2843A13F87B}" name="Largo de pétalo" dataDxfId="458"/>
    <tableColumn id="4" xr3:uid="{FA169ABD-2D74-4004-B839-91BEF77F069C}" name="Ancho de pétalo" dataDxfId="457"/>
    <tableColumn id="5" xr3:uid="{E8AA902B-1A96-4891-A29B-52ACE3DA1CB9}" name="Especies" dataDxfId="456"/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E08C6039-CD04-4CD9-9084-5B5955E9CF5C}" name="Tabla549" displayName="Tabla549" ref="G1:K151" totalsRowShown="0" headerRowDxfId="455" headerRowBorderDxfId="454" tableBorderDxfId="453">
  <autoFilter ref="G1:K151" xr:uid="{E08C6039-CD04-4CD9-9084-5B5955E9CF5C}"/>
  <sortState xmlns:xlrd2="http://schemas.microsoft.com/office/spreadsheetml/2017/richdata2" ref="G2:K151">
    <sortCondition descending="1" ref="G1:G151"/>
  </sortState>
  <tableColumns count="5">
    <tableColumn id="1" xr3:uid="{83CF18E0-04E8-4D57-8051-79B88BEB2D6D}" name="Largo de sépalo" dataDxfId="452">
      <calculatedColumnFormula>IF([1]!DataIris[[#This Row],[Largo de sépalo]]&lt;=5.5,"CORTO",IF([1]!DataIris[[#This Row],[Largo de sépalo]]&lt;=6.7,"MEDIANO","LARGO"))</calculatedColumnFormula>
    </tableColumn>
    <tableColumn id="2" xr3:uid="{5896CCFE-BDFB-4627-A4F0-CC667B9860C5}" name="Ancho de sépalo" dataDxfId="451">
      <calculatedColumnFormula>IF([1]!DataIris[[#This Row],[Ancho de sépalo]]&lt;=3.2,"ESTRECHO","ANCHO")</calculatedColumnFormula>
    </tableColumn>
    <tableColumn id="3" xr3:uid="{BB1DF66D-BB05-45F5-A82F-DDCAA2AF7060}" name="Largo de pétalo" dataDxfId="450">
      <calculatedColumnFormula>IF([1]!DataIris[[#This Row],[Largo de pétalo]]&lt;=3,"CORTO",IF([1]!DataIris[[#This Row],[Largo de pétalo]]&lt;=5,"MEDIANO","LARGO"))</calculatedColumnFormula>
    </tableColumn>
    <tableColumn id="4" xr3:uid="{620C012F-D64B-4749-95B9-F02A7D3F00C5}" name="Ancho de pétalo" dataDxfId="449">
      <calculatedColumnFormula>IF([1]!DataIris[[#This Row],[Ancho de pétalo]]&lt;=1.4,"ESTRECHO","ANCHO")</calculatedColumnFormula>
    </tableColumn>
    <tableColumn id="5" xr3:uid="{46F5AE1E-92B9-4DCF-9609-77503F683553}" name="Especies" dataDxfId="448"/>
  </tableColumns>
  <tableStyleInfo name="TableStyleMedium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55B29BE-A943-4295-A59E-BC342687BD3F}" name="Tabla2715" displayName="Tabla2715" ref="B157:J208" totalsRowShown="0" headerRowDxfId="447" dataDxfId="445" headerRowBorderDxfId="446" tableBorderDxfId="444" totalsRowBorderDxfId="443">
  <autoFilter ref="B157:J208" xr:uid="{B093003A-3486-41DB-B774-EB997C3ED8FD}"/>
  <tableColumns count="9">
    <tableColumn id="1" xr3:uid="{F9274B30-98EB-441B-94C5-091E577A2989}" name="Longitud del sépalo" dataDxfId="442"/>
    <tableColumn id="2" xr3:uid="{F905A42C-7161-41AE-A6C4-5D8BAB6F30CC}" name="Ancho del sépalo" dataDxfId="441"/>
    <tableColumn id="3" xr3:uid="{5AF324F6-E90E-4D8A-833F-092B9D3FCB16}" name="Longitud del pétalo" dataDxfId="440"/>
    <tableColumn id="4" xr3:uid="{52B39E17-C7B5-4814-9522-2C82D449E51E}" name="Ancho del pétalo" dataDxfId="439"/>
    <tableColumn id="5" xr3:uid="{A2B29870-6FDB-4BE2-9FAC-2CD65CB370A8}" name="Especies" dataDxfId="438"/>
    <tableColumn id="6" xr3:uid="{8B81CE99-A00A-4B0C-BFF7-5DC9D5292080}" name="Longitud del sépalo 2" dataDxfId="437"/>
    <tableColumn id="7" xr3:uid="{89C06159-0DA8-4688-9FB2-7709CAC5E063}" name="Ancho del sépalo 2" dataDxfId="436"/>
    <tableColumn id="8" xr3:uid="{2036E107-FE9C-4CBB-AA56-8EC359A26E04}" name="Longitud del pétalo 2" dataDxfId="435"/>
    <tableColumn id="9" xr3:uid="{C417229D-B86A-4A2C-8A8B-1C2265743831}" name="Ancho del pétalo 2" dataDxfId="434"/>
  </tableColumns>
  <tableStyleInfo name="TableStyleLight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F6A77E6-635D-481E-A234-6ADAFEE939F1}" name="Tabla3816" displayName="Tabla3816" ref="L157:T206" totalsRowShown="0" headerRowDxfId="433" dataDxfId="431" headerRowBorderDxfId="432" tableBorderDxfId="430" totalsRowBorderDxfId="429">
  <autoFilter ref="L157:T206" xr:uid="{A6A24A98-3876-4888-AABB-894E5A7A0DF6}"/>
  <tableColumns count="9">
    <tableColumn id="1" xr3:uid="{50AC98C0-676C-435B-8299-CBDCA6F641EC}" name="Longitud del sépalo" dataDxfId="428"/>
    <tableColumn id="2" xr3:uid="{968E9C73-7AE5-45F9-9B9C-23D6B18FB078}" name="Ancho del sépalo" dataDxfId="427"/>
    <tableColumn id="3" xr3:uid="{F072062F-6824-4B69-983F-20005A21A22D}" name="Longitud del pétalo" dataDxfId="426"/>
    <tableColumn id="4" xr3:uid="{89CC8A0A-0358-441D-B996-F32E644B34D1}" name="Ancho del pétalo" dataDxfId="425"/>
    <tableColumn id="5" xr3:uid="{334A3768-A52D-40EF-BBBD-D83792393901}" name="Especies" dataDxfId="424"/>
    <tableColumn id="6" xr3:uid="{373065F5-A0D5-4A60-980A-599ECD75E93E}" name="Longitud del sépalo 2" dataDxfId="423"/>
    <tableColumn id="7" xr3:uid="{81870BBF-9A57-49B4-AD08-5DDDFF9CAB24}" name="Ancho del sépalo 2" dataDxfId="422"/>
    <tableColumn id="8" xr3:uid="{8CA0E1BC-7176-443C-8C05-623C961CC493}" name="Longitud del pétalo 2" dataDxfId="421"/>
    <tableColumn id="9" xr3:uid="{8F0EE72D-A952-424A-AE98-01F6F5DBC196}" name="Ancho del pétalo 2" dataDxfId="420"/>
  </tableColumns>
  <tableStyleInfo name="TableStyleLight1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61B5BEB-FE58-4D82-830C-A68BD6CDE1F7}" name="Tabla4917" displayName="Tabla4917" ref="V157:AD207" totalsRowShown="0" headerRowDxfId="419" dataDxfId="417" headerRowBorderDxfId="418" tableBorderDxfId="416" totalsRowBorderDxfId="415">
  <autoFilter ref="V157:AD207" xr:uid="{54F31AB4-FD04-450D-983F-D043A0A0B9FB}"/>
  <tableColumns count="9">
    <tableColumn id="1" xr3:uid="{6BA26059-171D-4B36-BD3A-FAFA887A5CB6}" name="Longitud del sépalo" dataDxfId="414"/>
    <tableColumn id="2" xr3:uid="{FD8530EE-4494-4306-B395-5FC424558240}" name="Ancho del sépalo" dataDxfId="413"/>
    <tableColumn id="3" xr3:uid="{1E66CF7E-BFDF-4E72-AD11-2A761DE5C4FF}" name="Longitud del pétalo" dataDxfId="412"/>
    <tableColumn id="4" xr3:uid="{6D0B7B79-6F1B-4622-BB85-699B22AF3F70}" name="Ancho del pétalo" dataDxfId="411"/>
    <tableColumn id="5" xr3:uid="{3B4F3F00-275E-4D12-9B9E-CD6205F059D7}" name="Especies" dataDxfId="410"/>
    <tableColumn id="6" xr3:uid="{E0A998F1-610C-4E8B-A466-34455D08852A}" name="Longitud del sépalo 2" dataDxfId="409"/>
    <tableColumn id="7" xr3:uid="{667B39CF-E54E-4EAC-9DCA-5D78AF444892}" name="Ancho del sépalo 2" dataDxfId="408"/>
    <tableColumn id="8" xr3:uid="{60EF6AFD-44C9-4722-A7B4-749F9F3B0E30}" name="Longitud del pétalo 2" dataDxfId="407"/>
    <tableColumn id="9" xr3:uid="{F2B14653-A9DB-439D-854D-B7CF884EA373}" name="Ancho del pétalo 2" dataDxfId="406"/>
  </tableColumns>
  <tableStyleInfo name="TableStyleLight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D72A3BE5-05A7-4CCF-86AE-503016F2BA7D}" name="DataIris4850" displayName="DataIris4850" ref="B1:F151" totalsRowShown="0" headerRowDxfId="405" dataDxfId="403" headerRowBorderDxfId="404" tableBorderDxfId="402">
  <autoFilter ref="B1:F151" xr:uid="{D72A3BE5-05A7-4CCF-86AE-503016F2BA7D}"/>
  <sortState xmlns:xlrd2="http://schemas.microsoft.com/office/spreadsheetml/2017/richdata2" ref="B2:F151">
    <sortCondition ref="B1:B151"/>
  </sortState>
  <tableColumns count="5">
    <tableColumn id="1" xr3:uid="{5BA528A0-B0F6-4D27-A77A-2A71BBE82C48}" name="Largo de sépalo" dataDxfId="401"/>
    <tableColumn id="2" xr3:uid="{94A76254-0CE6-44C4-981D-450B529C9C02}" name="Ancho de sépalo" dataDxfId="400"/>
    <tableColumn id="3" xr3:uid="{2C61B7B2-83F8-4FC7-AA4E-86C72BD29A7C}" name="Largo de pétalo" dataDxfId="399"/>
    <tableColumn id="4" xr3:uid="{A03E44AB-6F31-4FAA-93EA-6E4BA6418534}" name="Ancho de pétalo" dataDxfId="398"/>
    <tableColumn id="5" xr3:uid="{14CA8E9E-294C-4638-A429-8282317DD7E2}" name="Especies" dataDxfId="397"/>
  </tableColumns>
  <tableStyleInfo name="TableStyleMedium1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7ED45637-EA64-4405-94F3-607F2E8B6F90}" name="Tabla54951" displayName="Tabla54951" ref="G1:K151" totalsRowShown="0" headerRowDxfId="396" headerRowBorderDxfId="395" tableBorderDxfId="394">
  <autoFilter ref="G1:K151" xr:uid="{7ED45637-EA64-4405-94F3-607F2E8B6F90}"/>
  <sortState xmlns:xlrd2="http://schemas.microsoft.com/office/spreadsheetml/2017/richdata2" ref="G2:K151">
    <sortCondition descending="1" ref="G1:G151"/>
  </sortState>
  <tableColumns count="5">
    <tableColumn id="1" xr3:uid="{75BF6274-EAAC-4F37-B890-5B8005D07FE1}" name="Largo de sépalo" dataDxfId="393">
      <calculatedColumnFormula>IF([1]!DataIris[[#This Row],[Largo de sépalo]]&lt;=5.5,"CORTO",IF([1]!DataIris[[#This Row],[Largo de sépalo]]&lt;=6.7,"MEDIANO","LARGO"))</calculatedColumnFormula>
    </tableColumn>
    <tableColumn id="2" xr3:uid="{692ABC8E-8E18-4808-8690-ACCF3025D35A}" name="Ancho de sépalo" dataDxfId="392">
      <calculatedColumnFormula>IF([1]!DataIris[[#This Row],[Ancho de sépalo]]&lt;=3.2,"ESTRECHO","ANCHO")</calculatedColumnFormula>
    </tableColumn>
    <tableColumn id="3" xr3:uid="{59A195B4-91FD-4D88-9148-55A222245BAA}" name="Largo de pétalo" dataDxfId="391">
      <calculatedColumnFormula>IF([1]!DataIris[[#This Row],[Largo de pétalo]]&lt;=3,"CORTO",IF([1]!DataIris[[#This Row],[Largo de pétalo]]&lt;=5,"MEDIANO","LARGO"))</calculatedColumnFormula>
    </tableColumn>
    <tableColumn id="4" xr3:uid="{DFF461E1-61FC-42D5-8818-34F26AD840AA}" name="Ancho de pétalo" dataDxfId="390">
      <calculatedColumnFormula>IF([1]!DataIris[[#This Row],[Ancho de pétalo]]&lt;=1.4,"ESTRECHO","ANCHO")</calculatedColumnFormula>
    </tableColumn>
    <tableColumn id="5" xr3:uid="{7A2AB6B8-96F7-4966-B58F-DCAB7522DB66}" name="Especies" dataDxfId="389"/>
  </tableColumns>
  <tableStyleInfo name="TableStyleMedium1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B60028C-F033-4FC4-98C9-4B452F373772}" name="Tabla271519" displayName="Tabla271519" ref="B157:J203" totalsRowShown="0" headerRowDxfId="388" dataDxfId="386" headerRowBorderDxfId="387" tableBorderDxfId="385" totalsRowBorderDxfId="384">
  <autoFilter ref="B157:J203" xr:uid="{B093003A-3486-41DB-B774-EB997C3ED8FD}"/>
  <tableColumns count="9">
    <tableColumn id="1" xr3:uid="{39ECA2C8-5E8B-49B5-AD6B-48733482CFC7}" name="Longitud del sépalo" dataDxfId="383"/>
    <tableColumn id="2" xr3:uid="{CB6C5E7A-5921-4F2A-BC5A-35D577462A87}" name="Ancho del sépalo" dataDxfId="382"/>
    <tableColumn id="3" xr3:uid="{509E97CA-5389-4A51-ADAE-A2D18BA77873}" name="Longitud del pétalo" dataDxfId="381"/>
    <tableColumn id="4" xr3:uid="{C675774F-D7DE-4C2A-BBC5-E775B25F11F9}" name="Ancho del pétalo" dataDxfId="380"/>
    <tableColumn id="5" xr3:uid="{16488759-2E6B-4CF0-9076-0BE3AD3E3EFC}" name="Especies" dataDxfId="379"/>
    <tableColumn id="6" xr3:uid="{966E04EE-E02C-4EF8-8048-31A93E147FE7}" name="Longitud del sépalo 2" dataDxfId="378"/>
    <tableColumn id="7" xr3:uid="{CAEC3456-FE10-4C10-97BA-A967B6E2A5E0}" name="Ancho del sépalo 2" dataDxfId="377"/>
    <tableColumn id="8" xr3:uid="{DD70B315-C439-4BBF-9101-0CD5CAF9A71B}" name="Longitud del pétalo 2" dataDxfId="376"/>
    <tableColumn id="9" xr3:uid="{97B868EC-A00A-421A-B755-88B6D8706676}" name="Ancho del pétalo 2" dataDxfId="375"/>
  </tableColumns>
  <tableStyleInfo name="TableStyleLight1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DEBFA86-B9CE-4953-9954-D6A6EC5376F2}" name="Tabla381620" displayName="Tabla381620" ref="L157:T211" totalsRowShown="0" headerRowDxfId="374" dataDxfId="372" headerRowBorderDxfId="373" tableBorderDxfId="371" totalsRowBorderDxfId="370">
  <autoFilter ref="L157:T211" xr:uid="{A6A24A98-3876-4888-AABB-894E5A7A0DF6}"/>
  <tableColumns count="9">
    <tableColumn id="1" xr3:uid="{D63DA19B-3FDB-4FB8-B515-8A84F5E0A3BE}" name="Longitud del sépalo" dataDxfId="369"/>
    <tableColumn id="2" xr3:uid="{85C388AD-552D-48B9-83B9-59651DC0A581}" name="Ancho del sépalo" dataDxfId="368"/>
    <tableColumn id="3" xr3:uid="{44EA5CB9-D51D-4C8A-BB2D-9114EA71307D}" name="Longitud del pétalo" dataDxfId="367"/>
    <tableColumn id="4" xr3:uid="{09A0E119-6041-47A4-A0C8-694DD029F3D6}" name="Ancho del pétalo" dataDxfId="366"/>
    <tableColumn id="5" xr3:uid="{94187194-8C3D-40DB-A32D-1942220A4529}" name="Especies" dataDxfId="365"/>
    <tableColumn id="6" xr3:uid="{8151A626-B58B-4BB7-A13D-0FF109A995EF}" name="Longitud del sépalo 2" dataDxfId="364"/>
    <tableColumn id="7" xr3:uid="{CA5F236D-9D23-434A-BAE5-F66F3E0AA7E5}" name="Ancho del sépalo 2" dataDxfId="363"/>
    <tableColumn id="8" xr3:uid="{A6414B2A-C256-4A04-A996-F5E7F08028DA}" name="Longitud del pétalo 2" dataDxfId="362"/>
    <tableColumn id="9" xr3:uid="{C6351B3B-CB69-4233-B4C6-FDFE33C20066}" name="Ancho del pétalo 2" dataDxfId="361"/>
  </tableColumns>
  <tableStyleInfo name="TableStyleLight1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D577ED7-3C53-4BF0-B12C-82EF08FC53DD}" name="Tabla491721" displayName="Tabla491721" ref="V157:AD207" totalsRowShown="0" headerRowDxfId="360" dataDxfId="358" headerRowBorderDxfId="359" tableBorderDxfId="357" totalsRowBorderDxfId="356">
  <autoFilter ref="V157:AD207" xr:uid="{54F31AB4-FD04-450D-983F-D043A0A0B9FB}"/>
  <tableColumns count="9">
    <tableColumn id="1" xr3:uid="{5DCF0ABE-C75B-462F-8033-708A57508A31}" name="Longitud del sépalo" dataDxfId="355"/>
    <tableColumn id="2" xr3:uid="{5563E564-0B4F-4C83-8CC4-62C16718380A}" name="Ancho del sépalo" dataDxfId="354"/>
    <tableColumn id="3" xr3:uid="{D560DEF1-62BE-4170-A151-9BD58CBA13EE}" name="Longitud del pétalo" dataDxfId="353"/>
    <tableColumn id="4" xr3:uid="{406FAE7F-A442-4980-BBF6-5B7EC91A5059}" name="Ancho del pétalo" dataDxfId="352"/>
    <tableColumn id="5" xr3:uid="{E51CDB97-AA4A-408D-9E96-A6AC90E28667}" name="Especies" dataDxfId="351"/>
    <tableColumn id="6" xr3:uid="{C7B68902-3FCB-4050-B25D-DEE52CC41033}" name="Longitud del sépalo 2" dataDxfId="350"/>
    <tableColumn id="7" xr3:uid="{5743C41C-B949-46EC-BECA-B619E4079EFE}" name="Ancho del sépalo 2" dataDxfId="349"/>
    <tableColumn id="8" xr3:uid="{1E4DB464-5BF4-411E-A966-B61939753475}" name="Longitud del pétalo 2" dataDxfId="348"/>
    <tableColumn id="9" xr3:uid="{834911B9-F35E-489F-B9C6-07A90508C245}" name="Ancho del pétalo 2" dataDxfId="347"/>
  </tableColumns>
  <tableStyleInfo name="TableStyleLight1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FAEBD161-1DDC-4F76-A6DB-88667DFA688E}" name="DataIris52" displayName="DataIris52" ref="B1:F151" totalsRowShown="0" headerRowDxfId="346" dataDxfId="344" headerRowBorderDxfId="345" tableBorderDxfId="343">
  <autoFilter ref="B1:F151" xr:uid="{FAEBD161-1DDC-4F76-A6DB-88667DFA688E}"/>
  <sortState xmlns:xlrd2="http://schemas.microsoft.com/office/spreadsheetml/2017/richdata2" ref="B2:F151">
    <sortCondition ref="B1:B151"/>
  </sortState>
  <tableColumns count="5">
    <tableColumn id="1" xr3:uid="{291E31E8-4E82-4E40-B521-892A117145FF}" name="Largo de sépalo" dataDxfId="342"/>
    <tableColumn id="2" xr3:uid="{8548348C-49AB-48B2-A3B1-3446DB7F633A}" name="Ancho de sépalo" dataDxfId="341"/>
    <tableColumn id="3" xr3:uid="{5ED345F4-8841-413D-8898-9DB9A1C9EDE1}" name="Largo de pétalo" dataDxfId="340"/>
    <tableColumn id="4" xr3:uid="{2E44BD7F-84EB-441E-9E44-B93E0F519C9A}" name="Ancho de pétalo" dataDxfId="339"/>
    <tableColumn id="5" xr3:uid="{43E683AA-1F2A-4E02-9C0B-B6AFF8E5A0EE}" name="Especies" dataDxfId="338"/>
  </tableColumns>
  <tableStyleInfo name="TableStyleMedium14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D1B3A36D-AC1C-433A-BDB0-B9941AFEDD3F}" name="Tabla553" displayName="Tabla553" ref="G1:K151" totalsRowShown="0" headerRowDxfId="337" headerRowBorderDxfId="336" tableBorderDxfId="335">
  <autoFilter ref="G1:K151" xr:uid="{D1B3A36D-AC1C-433A-BDB0-B9941AFEDD3F}"/>
  <sortState xmlns:xlrd2="http://schemas.microsoft.com/office/spreadsheetml/2017/richdata2" ref="G2:K151">
    <sortCondition descending="1" ref="G1:G151"/>
  </sortState>
  <tableColumns count="5">
    <tableColumn id="1" xr3:uid="{AE16A845-0C62-43D7-A16F-B2EA170F6ACC}" name="Largo de sépalo" dataDxfId="334">
      <calculatedColumnFormula>IF([1]!DataIris[[#This Row],[Largo de sépalo]]&lt;=5.5,"CORTO",IF([1]!DataIris[[#This Row],[Largo de sépalo]]&lt;=6.7,"MEDIANO","LARGO"))</calculatedColumnFormula>
    </tableColumn>
    <tableColumn id="2" xr3:uid="{477A29B3-5E2D-457C-8B71-9E1775AFBED6}" name="Ancho de sépalo" dataDxfId="333">
      <calculatedColumnFormula>IF([1]!DataIris[[#This Row],[Ancho de sépalo]]&lt;=3.2,"ESTRECHO","ANCHO")</calculatedColumnFormula>
    </tableColumn>
    <tableColumn id="3" xr3:uid="{A1B321BC-D52C-4476-9A72-CBBE4EBFFE25}" name="Largo de pétalo" dataDxfId="332">
      <calculatedColumnFormula>IF([1]!DataIris[[#This Row],[Largo de pétalo]]&lt;=3,"CORTO",IF([1]!DataIris[[#This Row],[Largo de pétalo]]&lt;=5,"MEDIANO","LARGO"))</calculatedColumnFormula>
    </tableColumn>
    <tableColumn id="4" xr3:uid="{F37AFCEA-1139-4D6D-A817-727AAB962073}" name="Ancho de pétalo" dataDxfId="331">
      <calculatedColumnFormula>IF([1]!DataIris[[#This Row],[Ancho de pétalo]]&lt;=1.4,"ESTRECHO","ANCHO")</calculatedColumnFormula>
    </tableColumn>
    <tableColumn id="5" xr3:uid="{203C67ED-AA3C-4A0D-AADB-BFF6443CBA49}" name="Especies" dataDxfId="330"/>
  </tableColumns>
  <tableStyleInfo name="TableStyleMedium10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959FD6E-6B3F-4B2A-817A-0214934E18FF}" name="Tabla38162010" displayName="Tabla38162010" ref="B2:J56" totalsRowShown="0" dataDxfId="329" tableBorderDxfId="328">
  <autoFilter ref="B2:J56" xr:uid="{F959FD6E-6B3F-4B2A-817A-0214934E18FF}"/>
  <tableColumns count="9">
    <tableColumn id="1" xr3:uid="{D0EF94B7-22B2-4F05-A2F0-50B6FEF0DB23}" name="Longitud del sépalo" dataDxfId="327"/>
    <tableColumn id="2" xr3:uid="{2261D2A2-F8C6-45FD-8572-A8A4007647B7}" name="Ancho del sépalo" dataDxfId="326"/>
    <tableColumn id="3" xr3:uid="{17B658A4-2C33-4A76-A6F4-7423ACA0E037}" name="Longitud del pétalo" dataDxfId="325"/>
    <tableColumn id="4" xr3:uid="{848EB9BE-93E0-4DBB-B637-A9D20B1DCF12}" name="Ancho del pétalo" dataDxfId="324"/>
    <tableColumn id="5" xr3:uid="{FF0B19C5-7DD9-4748-8D48-8F14ED76BD5F}" name="Especies" dataDxfId="323"/>
    <tableColumn id="6" xr3:uid="{D10BB700-E45F-439B-87DC-A612CBE04027}" name="Longitud del sépalo 2" dataDxfId="322"/>
    <tableColumn id="7" xr3:uid="{6100E484-7F19-4596-8BA2-98C315AA8BF9}" name="Ancho del sépalo 2" dataDxfId="321"/>
    <tableColumn id="8" xr3:uid="{B7DD13CD-8048-4549-A03A-8C4C833B24E6}" name="Longitud del pétalo 2" dataDxfId="320"/>
    <tableColumn id="9" xr3:uid="{23087C37-BDE7-4D11-B348-515A10E499E5}" name="Ancho del pétalo 2" dataDxfId="319"/>
  </tableColumns>
  <tableStyleInfo name="TableStyleMedium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7D1FFFD-EFE0-4132-8105-C3864BA56A1C}" name="Tabla10" displayName="Tabla10" ref="B62:J71" totalsRowShown="0" headerRowDxfId="318" headerRowBorderDxfId="317" tableBorderDxfId="316" totalsRowBorderDxfId="315">
  <autoFilter ref="B62:J71" xr:uid="{57D1FFFD-EFE0-4132-8105-C3864BA56A1C}"/>
  <tableColumns count="9">
    <tableColumn id="1" xr3:uid="{5ABA6656-009D-4D07-A35D-643BE2470E4F}" name="longitud del sépalo" dataDxfId="314"/>
    <tableColumn id="2" xr3:uid="{0B43455F-0AF1-4D80-9F62-5C8E9EDF7571}" name="ancho del sépalo" dataDxfId="313"/>
    <tableColumn id="3" xr3:uid="{5B209067-05E4-4C48-ABCF-04B846804FAE}" name="longitud del pétalo" dataDxfId="312"/>
    <tableColumn id="4" xr3:uid="{0E198F72-1566-41EE-AFEE-14CBB1424AFD}" name="ancho del pétalo" dataDxfId="311"/>
    <tableColumn id="5" xr3:uid="{0313C012-23E0-493E-AF70-C6809B6F4823}" name="especies" dataDxfId="310"/>
    <tableColumn id="6" xr3:uid="{939E7AEE-828D-417F-B861-D357D23168D3}" name="longitud del sépalo2" dataDxfId="309"/>
    <tableColumn id="7" xr3:uid="{21D8D22F-E05E-480D-B472-385333E1FBA2}" name="ancho del sépalo2" dataDxfId="308"/>
    <tableColumn id="8" xr3:uid="{719FA20F-ED93-4AA5-BD69-92765AF825C2}" name="longitud del pétalo2" dataDxfId="307"/>
    <tableColumn id="9" xr3:uid="{449F85A5-B8B4-44F3-8A6D-514EF8142DE3}" name="ancho del pétalo2" dataDxfId="306"/>
  </tableColumns>
  <tableStyleInfo name="TableStyleLight1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39A6C90-1555-49F1-8835-E4C4EDFEA76E}" name="Tabla11" displayName="Tabla11" ref="M62:U95" totalsRowShown="0" headerRowDxfId="305" headerRowBorderDxfId="304" tableBorderDxfId="303" totalsRowBorderDxfId="302">
  <autoFilter ref="M62:U95" xr:uid="{539A6C90-1555-49F1-8835-E4C4EDFEA76E}"/>
  <tableColumns count="9">
    <tableColumn id="1" xr3:uid="{E0235BCA-C53C-432B-9697-ED6298950D35}" name="Longitud del sépalo" dataDxfId="301"/>
    <tableColumn id="2" xr3:uid="{2B7CC44C-2110-414A-9D19-83FF05708390}" name="Ancho del sépalo" dataDxfId="300"/>
    <tableColumn id="3" xr3:uid="{C9009EF5-7113-4509-8DDA-421E52CF4E2F}" name="Longitud del pétalo" dataDxfId="299"/>
    <tableColumn id="4" xr3:uid="{1A9F86EC-7B98-4165-B35C-0FF4068DEF13}" name="Ancho del pétalo" dataDxfId="298"/>
    <tableColumn id="5" xr3:uid="{6158D621-E360-443D-829A-3032175DD10F}" name="Especies" dataDxfId="297"/>
    <tableColumn id="6" xr3:uid="{5179500B-2B94-4FAC-AAE4-2E53C9B5FC32}" name="longitud del sépalo 2" dataDxfId="296"/>
    <tableColumn id="7" xr3:uid="{E2E14B3E-A476-47E3-ACE8-40172C295CCE}" name="Ancho del sépalo 2" dataDxfId="295"/>
    <tableColumn id="8" xr3:uid="{15DC2A1F-BFCE-4160-81E3-6AE059430233}" name="Longitud del pétalo 2" dataDxfId="294"/>
    <tableColumn id="9" xr3:uid="{A11401AD-4085-4812-AB56-31A03A27C24A}" name="Ancho del pétalo 2" dataDxfId="293"/>
  </tableColumns>
  <tableStyleInfo name="TableStyleLight1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C053135-2536-46C9-898D-580FB1BE1D75}" name="Tabla12" displayName="Tabla12" ref="X62:AF74" totalsRowShown="0" headerRowDxfId="292" dataDxfId="290" headerRowBorderDxfId="291" tableBorderDxfId="289" totalsRowBorderDxfId="288">
  <autoFilter ref="X62:AF74" xr:uid="{7C053135-2536-46C9-898D-580FB1BE1D75}"/>
  <tableColumns count="9">
    <tableColumn id="1" xr3:uid="{1AD971D3-4F6E-464A-B4C9-F9B827E1E347}" name="Longitud del sépalo" dataDxfId="287"/>
    <tableColumn id="2" xr3:uid="{43C7CFB8-1D6C-4428-8D0F-5435EDC8A916}" name="Ancho del sépalo" dataDxfId="286"/>
    <tableColumn id="3" xr3:uid="{6706BC19-0FB0-4FAC-9315-02C0639331B5}" name="Longitud del pétalo" dataDxfId="285"/>
    <tableColumn id="4" xr3:uid="{B6A4372C-1589-4D49-8CE7-3B56C54C6E19}" name="Ancho del pétalo" dataDxfId="284"/>
    <tableColumn id="5" xr3:uid="{6EFCCE1B-1D09-4861-AF7A-6C6784D55969}" name="Especies" dataDxfId="283"/>
    <tableColumn id="6" xr3:uid="{0444D2D7-C54B-4BFA-A276-64C0C822B9B7}" name="Longitud del sépalo2" dataDxfId="282"/>
    <tableColumn id="7" xr3:uid="{B6ADE0B4-D073-4C30-AA1C-C575EC78A4DE}" name="Ancho del sépalo 2" dataDxfId="281"/>
    <tableColumn id="8" xr3:uid="{C54370D5-ACCC-4726-91E8-B8F31AC81F1D}" name="Longitud del pétalo 2" dataDxfId="280"/>
    <tableColumn id="9" xr3:uid="{050E093A-2DD2-4FC1-8AC5-45A2AB2EBE44}" name="Ancho del pétalo 2" dataDxfId="279"/>
  </tableColumns>
  <tableStyleInfo name="TableStyleLight1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D537B64-247C-444E-9C7A-162D9CF7731C}" name="Tabla3816201022" displayName="Tabla3816201022" ref="B2:J56" totalsRowShown="0" dataDxfId="278" tableBorderDxfId="277">
  <autoFilter ref="B2:J56" xr:uid="{F959FD6E-6B3F-4B2A-817A-0214934E18FF}"/>
  <tableColumns count="9">
    <tableColumn id="1" xr3:uid="{4633CA80-79D0-49AF-9023-010367D1B0F9}" name="Longitud del sépalo" dataDxfId="276"/>
    <tableColumn id="2" xr3:uid="{47EF71D2-F0E9-4319-BCBB-FFC09EDE57F1}" name="Ancho del sépalo" dataDxfId="275"/>
    <tableColumn id="3" xr3:uid="{652F4545-5A24-4B93-82AE-BE4DD46A022C}" name="Longitud del pétalo" dataDxfId="274"/>
    <tableColumn id="4" xr3:uid="{E13B3524-BB7D-4A73-A13E-A50AC2722F2B}" name="Ancho del pétalo" dataDxfId="273"/>
    <tableColumn id="5" xr3:uid="{1679AAAF-7656-4DB9-86B6-393B108AE97A}" name="Especies" dataDxfId="272"/>
    <tableColumn id="6" xr3:uid="{014BCEC7-8405-4407-B542-98BDB8DEEA57}" name="Longitud del sépalo 2" dataDxfId="271"/>
    <tableColumn id="7" xr3:uid="{227F84EE-D80C-46F5-A21B-E29BA883D34C}" name="Ancho del sépalo2" dataDxfId="270"/>
    <tableColumn id="8" xr3:uid="{EB4E2A5D-24F1-4BDE-961F-6D41065CA765}" name="Longitud del pétalo 2" dataDxfId="269"/>
    <tableColumn id="9" xr3:uid="{AB64EF66-EAD4-48DD-A1F4-BF70CA866E98}" name="Ancho del pétalo 2" dataDxfId="268"/>
  </tableColumns>
  <tableStyleInfo name="TableStyleMedium1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23163B2-A5E0-4F4E-B230-3DA6E17714A0}" name="Tabla1023" displayName="Tabla1023" ref="B62:J78" totalsRowShown="0" headerRowDxfId="267" headerRowBorderDxfId="266" tableBorderDxfId="265" totalsRowBorderDxfId="264">
  <autoFilter ref="B62:J78" xr:uid="{57D1FFFD-EFE0-4132-8105-C3864BA56A1C}"/>
  <tableColumns count="9">
    <tableColumn id="1" xr3:uid="{09B2C938-CF50-496F-A562-862DFBC7BBDA}" name="Longitud del sépalo" dataDxfId="263"/>
    <tableColumn id="2" xr3:uid="{4ABCE178-BDB5-4483-87AD-929642F1E9C0}" name="Ancho del sépalo" dataDxfId="262"/>
    <tableColumn id="3" xr3:uid="{20E5B341-5431-43A5-B671-4D53F5B6F705}" name="Longitud del pétalo" dataDxfId="261"/>
    <tableColumn id="4" xr3:uid="{B88D011D-9750-4D8B-B026-B2AC5ABCF6CE}" name="Ancho del pétalo" dataDxfId="260"/>
    <tableColumn id="5" xr3:uid="{87245058-60C7-4E2A-88A6-4349C421CBAA}" name="Especies" dataDxfId="259"/>
    <tableColumn id="6" xr3:uid="{AB3649E0-1245-46E4-B04A-37AA851F7981}" name="Longitud del sépalo 2" dataDxfId="258"/>
    <tableColumn id="7" xr3:uid="{6D0D5817-D44F-4BE1-B645-4D007F2D65AC}" name="Ancho del sépalo 2" dataDxfId="257"/>
    <tableColumn id="8" xr3:uid="{A1FCE606-1A76-4B06-A676-B431EEF81337}" name="Longitud del pétalo 2" dataDxfId="256"/>
    <tableColumn id="9" xr3:uid="{D4D25CB5-32F6-4DE1-8DD0-8FF189C8DFA9}" name="Ancho del pétalo 2" dataDxfId="255"/>
  </tableColumns>
  <tableStyleInfo name="TableStyleLight1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40E0019-2285-47B9-BB69-C8061457BBCE}" name="Tabla1124" displayName="Tabla1124" ref="M62:U100" totalsRowShown="0" tableBorderDxfId="254">
  <autoFilter ref="M62:U100" xr:uid="{539A6C90-1555-49F1-8835-E4C4EDFEA76E}">
    <filterColumn colId="4">
      <filters>
        <filter val="versicolor"/>
      </filters>
    </filterColumn>
  </autoFilter>
  <tableColumns count="9">
    <tableColumn id="1" xr3:uid="{C8F25326-1648-40A1-A950-EEEE3F72F25E}" name="Longitud del sépalo" dataDxfId="253"/>
    <tableColumn id="2" xr3:uid="{9BEA61D4-3096-42AE-930B-7EB834BC1CF0}" name="Ancho del sépalo" dataDxfId="252"/>
    <tableColumn id="3" xr3:uid="{8F8F8CBF-A0BB-4966-B195-9415B7DF3F05}" name="Longitud del pétalo" dataDxfId="251"/>
    <tableColumn id="4" xr3:uid="{A960B500-ECB5-4890-939F-4BA54EC3337F}" name="Ancho del pétalo" dataDxfId="250"/>
    <tableColumn id="5" xr3:uid="{263E911F-6589-4262-8965-D7587B9E1034}" name="Especies" dataDxfId="249"/>
    <tableColumn id="6" xr3:uid="{835ED174-C67A-4BB0-96A5-81669EB665A4}" name="Longitud del sépalo 2" dataDxfId="248"/>
    <tableColumn id="7" xr3:uid="{99A61CA1-8173-4F89-BDD6-EA516A45895A}" name="Ancho del sépalo 2" dataDxfId="247"/>
    <tableColumn id="8" xr3:uid="{C5BAF90E-83B0-44B0-8B0A-8029FB2EBFA4}" name="Longitud del pétalo 2" dataDxfId="246"/>
    <tableColumn id="9" xr3:uid="{5D3CF16D-7DB6-4C73-90ED-64DAB1598AB1}" name="Ancho del pétalo 2" dataDxfId="245"/>
  </tableColumns>
  <tableStyleInfo name="TableStyleLight14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12E984C-6EA5-40C8-BDBF-859FF35BA197}" name="Tabla381620102226" displayName="Tabla381620102226" ref="B2:J56" totalsRowShown="0" dataDxfId="244" tableBorderDxfId="243">
  <autoFilter ref="B2:J56" xr:uid="{F959FD6E-6B3F-4B2A-817A-0214934E18FF}"/>
  <tableColumns count="9">
    <tableColumn id="1" xr3:uid="{26600700-2755-45E8-9A2A-2411794ECA5F}" name="Longitud del sépalo" dataDxfId="242"/>
    <tableColumn id="2" xr3:uid="{19F74F0C-B023-4507-8BA8-F0DC8CE747DA}" name="Ancho del sépalo" dataDxfId="241"/>
    <tableColumn id="3" xr3:uid="{F2D3FAF9-DA78-41BC-9FFE-49EACA81DAE5}" name="Longitud del pétalo" dataDxfId="240"/>
    <tableColumn id="4" xr3:uid="{B614DE80-4F01-4114-8DAC-6CF9E421798F}" name="Ancho del pétalo" dataDxfId="239"/>
    <tableColumn id="5" xr3:uid="{2E715C04-7BDE-454E-B88F-6FDEC919609C}" name="Especies" dataDxfId="238"/>
    <tableColumn id="6" xr3:uid="{E77698F6-6F30-4C48-BB9C-59C449E5B489}" name="Longitud del sépalo 2" dataDxfId="237"/>
    <tableColumn id="7" xr3:uid="{E15F6A01-1E01-47EE-8649-22DD2BB402AE}" name="Ancho del sépalo 2" dataDxfId="236"/>
    <tableColumn id="8" xr3:uid="{13B72835-A28A-47F3-B86F-41FF22E910C6}" name="Longitud del pétalo 2" dataDxfId="235"/>
    <tableColumn id="9" xr3:uid="{BB03630F-13CC-4BF3-BB96-CF75D9B5A759}" name="Ancho del pétalo 2" dataDxfId="234"/>
  </tableColumns>
  <tableStyleInfo name="TableStyleMedium1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EE1BD90-689A-4555-AD86-67FE1860BA7B}" name="Tabla102327" displayName="Tabla102327" ref="B62:J70" totalsRowShown="0" headerRowDxfId="233" headerRowBorderDxfId="232" tableBorderDxfId="231" totalsRowBorderDxfId="230">
  <autoFilter ref="B62:J70" xr:uid="{57D1FFFD-EFE0-4132-8105-C3864BA56A1C}"/>
  <tableColumns count="9">
    <tableColumn id="1" xr3:uid="{70E3A919-0568-4242-898F-57F380052B8B}" name="Longitud del sépalo" dataDxfId="229"/>
    <tableColumn id="2" xr3:uid="{F8FA7773-7B55-4B22-AF32-6197947296DD}" name="Ancho del sépalo" dataDxfId="228"/>
    <tableColumn id="3" xr3:uid="{B7B244E4-7754-455C-BC13-23E9539C81D7}" name="Longitud del pétalo" dataDxfId="227"/>
    <tableColumn id="4" xr3:uid="{BEFCCE69-B326-42BC-AF8C-FE971BA09B03}" name="Ancho del pétalo" dataDxfId="226"/>
    <tableColumn id="5" xr3:uid="{B4BDA12A-86F2-4BB9-A238-1385BF30B059}" name="Especies" dataDxfId="225"/>
    <tableColumn id="6" xr3:uid="{FAF5AF2B-920B-4E84-B255-3B0992FA7F63}" name="Longitud del sépalo 2" dataDxfId="224"/>
    <tableColumn id="7" xr3:uid="{327DECD7-F207-484B-96A6-9A2C90518E16}" name="Ancho del sépalo 2" dataDxfId="223"/>
    <tableColumn id="8" xr3:uid="{D580C329-295E-4383-8AAF-EE7A8346BC3F}" name="Longitud del pétalo 2" dataDxfId="222"/>
    <tableColumn id="9" xr3:uid="{D9F61647-C24F-44A4-B9F5-2FA0E6C19E00}" name="Ancho del pétalo 2" dataDxfId="221"/>
  </tableColumns>
  <tableStyleInfo name="TableStyleLight14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1F89DB0-9EF0-48BF-B9BB-E5083E2F2C06}" name="Tabla28" displayName="Tabla28" ref="M62:U108" totalsRowShown="0" headerRowDxfId="220" headerRowBorderDxfId="219" tableBorderDxfId="218" totalsRowBorderDxfId="217">
  <autoFilter ref="M62:U108" xr:uid="{E1F89DB0-9EF0-48BF-B9BB-E5083E2F2C06}"/>
  <tableColumns count="9">
    <tableColumn id="1" xr3:uid="{36A0F8DE-8CEA-431B-8A59-C4814A7B4A10}" name="Longitud del sépalo" dataDxfId="216"/>
    <tableColumn id="2" xr3:uid="{3336BECB-B27B-48BC-A49B-14F9D8990962}" name="Ancho del sépalo" dataDxfId="215"/>
    <tableColumn id="3" xr3:uid="{65AE2AAF-F18F-4709-AC4F-E7BFE012CE1C}" name="Longitud del pétalo" dataDxfId="214"/>
    <tableColumn id="4" xr3:uid="{171AB227-4868-4660-A254-EF7812BAE04A}" name="Ancho del pétalo" dataDxfId="213"/>
    <tableColumn id="5" xr3:uid="{B62EE198-A836-4095-BFC7-0CF8F2D7746F}" name="Especies" dataDxfId="212"/>
    <tableColumn id="6" xr3:uid="{9ECB61E2-02C1-4AFA-8165-19146F122779}" name="Longitud del sépalo 2" dataDxfId="211"/>
    <tableColumn id="7" xr3:uid="{10F56761-4A2A-4123-8F8C-A209FA7DE1C7}" name="Ancho del sépalo 2" dataDxfId="210"/>
    <tableColumn id="8" xr3:uid="{896F2FE6-D5DA-4D15-9CAE-D79CE8BD941F}" name="Longitud del pétalo 2" dataDxfId="209"/>
    <tableColumn id="9" xr3:uid="{AC52CAED-7AB4-4575-9826-60A15522434E}" name="Ancho del pétalo 2" dataDxfId="208"/>
  </tableColumns>
  <tableStyleInfo name="TableStyleLight14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A0EED5C-9818-4927-8C62-0160F1848384}" name="Tabla2830" displayName="Tabla2830" ref="B2:J48" totalsRowShown="0" headerRowDxfId="207" headerRowBorderDxfId="206" tableBorderDxfId="205" totalsRowBorderDxfId="204">
  <autoFilter ref="B2:J48" xr:uid="{5A0EED5C-9818-4927-8C62-0160F1848384}"/>
  <tableColumns count="9">
    <tableColumn id="1" xr3:uid="{781A011A-2371-4CEE-ABC3-A98E621C5B9B}" name="Longitud del sépalo" dataDxfId="203"/>
    <tableColumn id="2" xr3:uid="{F413C6B4-8974-4A67-A5C4-1F2765A033AA}" name="Ancho del sépalo" dataDxfId="202"/>
    <tableColumn id="3" xr3:uid="{1E6C626E-2F6C-4A41-93D6-5BADD7D2B828}" name="Longitud del pétalo" dataDxfId="201"/>
    <tableColumn id="4" xr3:uid="{B6239FF4-D981-462A-8216-40608B2B70EA}" name="Ancho del pétalo" dataDxfId="200"/>
    <tableColumn id="5" xr3:uid="{8E7C6C32-3110-4768-B7BB-6B6473C90104}" name="Especies" dataDxfId="199"/>
    <tableColumn id="6" xr3:uid="{142440AD-396D-4A2C-98CD-80D33F6F6F67}" name="Longitud del sépalo 2" dataDxfId="198"/>
    <tableColumn id="7" xr3:uid="{88C7D123-804E-432F-8729-25D98D6B39A6}" name="Ancho del sépalo 2" dataDxfId="197"/>
    <tableColumn id="8" xr3:uid="{17E5582D-68B6-4859-80D0-421EA8DE57CE}" name="Longitud del pétalo 2" dataDxfId="196"/>
    <tableColumn id="9" xr3:uid="{490CF5F3-BBF9-4A80-BD43-A9176C820016}" name="Ancho del pétalo 2" dataDxfId="195"/>
  </tableColumns>
  <tableStyleInfo name="TableStyleLight14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CB59B49-AABB-4CE8-99A4-E2A8BD7C4A51}" name="Tabla30" displayName="Tabla30" ref="X54:AF66" totalsRowShown="0" headerRowDxfId="194" headerRowBorderDxfId="193" tableBorderDxfId="192" totalsRowBorderDxfId="191">
  <autoFilter ref="X54:AF66" xr:uid="{1CB59B49-AABB-4CE8-99A4-E2A8BD7C4A51}"/>
  <tableColumns count="9">
    <tableColumn id="1" xr3:uid="{09962333-B6E1-4435-9828-BC9CDB987D3C}" name="Longitud del sépalo" dataDxfId="190"/>
    <tableColumn id="2" xr3:uid="{C128F8B7-17CC-4A9C-9FDA-6B998D164E1D}" name="Ancho del sépalo" dataDxfId="189"/>
    <tableColumn id="3" xr3:uid="{10B308FB-83B3-406A-8E32-84BDC99A4DB1}" name="Longitud del pétalo" dataDxfId="188"/>
    <tableColumn id="4" xr3:uid="{76F73190-5AB4-4A9B-B983-D57020DD2836}" name="Ancho del pétalo" dataDxfId="187"/>
    <tableColumn id="5" xr3:uid="{ACF44B1C-3043-469B-B851-1C49E359F601}" name="Especies" dataDxfId="186"/>
    <tableColumn id="6" xr3:uid="{7E8610EA-D583-4952-AD23-3871E27E9E49}" name="Longitud del sépalo 2" dataDxfId="185"/>
    <tableColumn id="7" xr3:uid="{070EC2FF-C6CE-49F4-8BE4-2EAA7B630ECD}" name="Ancho del sépalo 2" dataDxfId="184"/>
    <tableColumn id="8" xr3:uid="{6C6478A0-E610-4046-9769-65239E2BF41F}" name="Longitud del pétalo 2" dataDxfId="183"/>
    <tableColumn id="9" xr3:uid="{F32D67ED-D07B-460C-8698-A9B0C67FA6C5}" name="Ancho del pétalo 2" dataDxfId="182"/>
  </tableColumns>
  <tableStyleInfo name="TableStyleLight14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34E05CB-407B-46BB-9D60-B52AE68CB0A7}" name="Tabla31" displayName="Tabla31" ref="M54:U82" totalsRowShown="0" headerRowDxfId="181" dataDxfId="179" headerRowBorderDxfId="180" tableBorderDxfId="178" totalsRowBorderDxfId="177">
  <autoFilter ref="M54:U82" xr:uid="{934E05CB-407B-46BB-9D60-B52AE68CB0A7}"/>
  <tableColumns count="9">
    <tableColumn id="1" xr3:uid="{030B0B20-BDC8-403B-AB57-F735F5CAD8DC}" name="Longitud del sépalo" dataDxfId="176"/>
    <tableColumn id="2" xr3:uid="{971CCFED-2BF6-4066-919A-1AD05D6A034B}" name="Ancho del sépalo" dataDxfId="175"/>
    <tableColumn id="3" xr3:uid="{34CE1825-84FE-4207-B5F7-846439FCB52D}" name="Longitud del pétalo" dataDxfId="174"/>
    <tableColumn id="4" xr3:uid="{47170D39-B42A-4126-A9E0-2FFAC9AF963F}" name="Ancho del pétalo" dataDxfId="173"/>
    <tableColumn id="5" xr3:uid="{977268C1-0BE5-4816-B117-6A90C11B1E66}" name="Especies" dataDxfId="172"/>
    <tableColumn id="6" xr3:uid="{78CE1432-5965-4C70-9700-5C8FD71D769E}" name="Longitud del sépalo 2" dataDxfId="171"/>
    <tableColumn id="7" xr3:uid="{3C59716C-2B35-41A3-A440-710CFAC2D60D}" name="Ancho del sépalo 2" dataDxfId="170"/>
    <tableColumn id="8" xr3:uid="{6C601447-153A-439E-9FFE-B4C8A9B9D72F}" name="Longitud del pétalo 2" dataDxfId="169"/>
    <tableColumn id="9" xr3:uid="{5B131B37-9077-4932-9E5A-7E917324D8F3}" name="Ancho del pétalo 2" dataDxfId="168"/>
  </tableColumns>
  <tableStyleInfo name="TableStyleLight14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0EC4187-0B39-4920-944B-0EADC0D44964}" name="Tabla32" displayName="Tabla32" ref="B54:J60" totalsRowShown="0" headerRowDxfId="167" headerRowBorderDxfId="166" tableBorderDxfId="165" totalsRowBorderDxfId="164">
  <autoFilter ref="B54:J60" xr:uid="{A0EC4187-0B39-4920-944B-0EADC0D44964}"/>
  <tableColumns count="9">
    <tableColumn id="1" xr3:uid="{83BB0975-D2E2-4845-954B-8BA1B652A8C5}" name="Longitud del sépalo" dataDxfId="163"/>
    <tableColumn id="2" xr3:uid="{6177CA97-D852-42B7-BEE5-9C6AD45FE3B9}" name="Ancho del sépalo" dataDxfId="162"/>
    <tableColumn id="3" xr3:uid="{FB4DB4D9-8833-4F98-A6EE-504E56F31108}" name="Longitud del pétalo" dataDxfId="161"/>
    <tableColumn id="4" xr3:uid="{FDF1105D-C6F1-44B6-BE51-0B9C4EC1A1F7}" name="Ancho del pétalo" dataDxfId="160"/>
    <tableColumn id="5" xr3:uid="{C572D7AC-6F04-4E7C-BC79-D68B5240BAEA}" name="Especies" dataDxfId="159"/>
    <tableColumn id="6" xr3:uid="{E88F35FC-2CED-49A2-AC89-6677923BD0AD}" name="Longitud del sépalo 2" dataDxfId="158"/>
    <tableColumn id="7" xr3:uid="{2A2A8DB7-069A-4396-8BA9-0525B598B0DC}" name="Ancho del sépalo 2" dataDxfId="157"/>
    <tableColumn id="8" xr3:uid="{AC651CCD-908A-47F9-ACD3-A0EAAB3820A2}" name="Longitud del pétalo 2" dataDxfId="156"/>
    <tableColumn id="9" xr3:uid="{87A2FF4E-954F-4C51-B9A4-6C064458D0EB}" name="Ancho del pétalo 2" dataDxfId="155"/>
  </tableColumns>
  <tableStyleInfo name="TableStyleLight14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F4E4C09-4D57-4857-8982-8519DCD3262F}" name="Tabla283034" displayName="Tabla283034" ref="B2:J48" totalsRowShown="0" headerRowDxfId="154" headerRowBorderDxfId="153" tableBorderDxfId="152" totalsRowBorderDxfId="151">
  <autoFilter ref="B2:J48" xr:uid="{5A0EED5C-9818-4927-8C62-0160F1848384}"/>
  <tableColumns count="9">
    <tableColumn id="1" xr3:uid="{9012BD04-DB36-4666-ADBB-25499B1F4B85}" name="Longitud del sépalo" dataDxfId="150"/>
    <tableColumn id="2" xr3:uid="{2F25185A-D9F4-4F85-BEA2-64D57240DA18}" name="Ancho del sépalo" dataDxfId="149"/>
    <tableColumn id="3" xr3:uid="{5DFAE49D-4986-4B46-BFFE-3502F505221F}" name="Longitud del pétalo" dataDxfId="148"/>
    <tableColumn id="4" xr3:uid="{D6CCB77F-800B-4506-A76D-1D10E03E8D36}" name="Ancho del pétalo" dataDxfId="147"/>
    <tableColumn id="5" xr3:uid="{9CDD8B58-339F-444C-BF2C-414631130350}" name="Especies" dataDxfId="146"/>
    <tableColumn id="6" xr3:uid="{6090EEE4-2C2C-4290-933C-9B987DE6F0A8}" name="Longitud del sépalo 2" dataDxfId="145"/>
    <tableColumn id="7" xr3:uid="{105667BE-AB3A-4F28-A6F3-65EF7848FCA5}" name="Ancho del sépalo 2" dataDxfId="144"/>
    <tableColumn id="8" xr3:uid="{8E2B8DD8-37CA-4621-8A37-5E058C075EB8}" name="Longitud del pétalo 2" dataDxfId="143"/>
    <tableColumn id="9" xr3:uid="{4DF554D1-7807-43CA-8AFB-CDFD17B345FA}" name="Ancho del pétalo 2" dataDxfId="142"/>
  </tableColumns>
  <tableStyleInfo name="TableStyleLight14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38572E7-50BF-4B5A-A48D-FF6E96E46F2F}" name="Tabla3136" displayName="Tabla3136" ref="M54:U87" totalsRowShown="0" headerRowDxfId="141" dataDxfId="140" tableBorderDxfId="139">
  <autoFilter ref="M54:U87" xr:uid="{934E05CB-407B-46BB-9D60-B52AE68CB0A7}">
    <filterColumn colId="4">
      <filters>
        <filter val="versicolor"/>
      </filters>
    </filterColumn>
  </autoFilter>
  <tableColumns count="9">
    <tableColumn id="1" xr3:uid="{24E110CC-47FD-4064-8928-AF7C50CEA69B}" name="Longitud del sépalo" dataDxfId="138"/>
    <tableColumn id="2" xr3:uid="{9DCE99CB-1CB3-4FEE-B624-98DD2753A749}" name="Ancho del sépalo" dataDxfId="137"/>
    <tableColumn id="3" xr3:uid="{CD117613-04EB-498B-B98B-326A330DB1D9}" name="Longitud del pétalo" dataDxfId="136"/>
    <tableColumn id="4" xr3:uid="{F9D94CA3-7676-406A-B300-17B36B0852E0}" name="Ancho del pétalo" dataDxfId="135"/>
    <tableColumn id="5" xr3:uid="{1AB348E9-B922-471D-AA22-87A89B8174B8}" name="Especies" dataDxfId="134"/>
    <tableColumn id="6" xr3:uid="{AFF4F1E4-32A3-4184-A228-D29ED2DEE7B2}" name="Longitud del sépalo 2" dataDxfId="133"/>
    <tableColumn id="7" xr3:uid="{536B5F17-F834-4B19-9E00-B33C352FFE03}" name="Ancho del sépalo 2" dataDxfId="132"/>
    <tableColumn id="8" xr3:uid="{CC981134-7DDC-4384-925A-9A5C02AEA3D6}" name="Longitud del pétalo 2" dataDxfId="131"/>
    <tableColumn id="9" xr3:uid="{9A3CC83C-E00A-4717-A8A4-E9FEA46C85F4}" name="Ancho del pétalo 2" dataDxfId="130"/>
  </tableColumns>
  <tableStyleInfo name="TableStyleLight14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A13AFAE-EF23-4C32-A357-C994A3C6C58E}" name="Tabla3237" displayName="Tabla3237" ref="B55:J68" totalsRowShown="0" headerRowDxfId="129" headerRowBorderDxfId="128" tableBorderDxfId="127" totalsRowBorderDxfId="126">
  <autoFilter ref="B55:J68" xr:uid="{A0EC4187-0B39-4920-944B-0EADC0D44964}"/>
  <tableColumns count="9">
    <tableColumn id="1" xr3:uid="{0CFFA71B-458F-4D4A-A71A-B1741959C0F7}" name="Longitud del sépalo" dataDxfId="125"/>
    <tableColumn id="2" xr3:uid="{8CCBFD96-A106-47A9-84A7-18C6794E29B0}" name="Ancho del sépalo" dataDxfId="124"/>
    <tableColumn id="3" xr3:uid="{0A37C521-2970-41C7-8731-B6133E62D8E7}" name="Longitud del pétalo" dataDxfId="123"/>
    <tableColumn id="4" xr3:uid="{308050F9-6976-4B50-913C-2491D4F72A26}" name="Ancho del pétalo" dataDxfId="122"/>
    <tableColumn id="5" xr3:uid="{9EDF933D-1885-42FA-B6E5-E4413169513A}" name="Especies" dataDxfId="121"/>
    <tableColumn id="6" xr3:uid="{BDA8BD9E-66B0-45E0-BC5E-6C8FDD2C093C}" name="Longitud del sépalo 2" dataDxfId="120"/>
    <tableColumn id="7" xr3:uid="{9EB5F76E-639E-46AF-9251-EB90248FDDFA}" name="Ancho del sépalo 2" dataDxfId="119"/>
    <tableColumn id="8" xr3:uid="{A3485610-E751-442D-8D32-EA0EBDC879AE}" name="Longitud del pétalo 2" dataDxfId="118"/>
    <tableColumn id="9" xr3:uid="{4EAA8792-6EFB-44EA-B52C-4E7AC3B916B1}" name="Ancho del pétalo 2" dataDxfId="117"/>
  </tableColumns>
  <tableStyleInfo name="TableStyleLight14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B25ABEB0-CB88-44CA-A094-49ACEC954562}" name="Tabla3038" displayName="Tabla3038" ref="B2:J14" totalsRowShown="0" headerRowDxfId="116" headerRowBorderDxfId="115" tableBorderDxfId="114" totalsRowBorderDxfId="113">
  <autoFilter ref="B2:J14" xr:uid="{B25ABEB0-CB88-44CA-A094-49ACEC954562}"/>
  <tableColumns count="9">
    <tableColumn id="1" xr3:uid="{EB3226C3-6B9C-4A27-B649-6CF5401348A8}" name="Longitud del sépalo" dataDxfId="112"/>
    <tableColumn id="2" xr3:uid="{8E93BA3F-6E4C-4257-9046-0F9DC6001855}" name="Ancho del sépalo" dataDxfId="111"/>
    <tableColumn id="3" xr3:uid="{967744DC-BE0F-4EA1-91D1-2424BED2A744}" name="Longitud del pétalo" dataDxfId="110"/>
    <tableColumn id="4" xr3:uid="{57341BB5-CD98-4512-B678-165F5A560087}" name="Ancho del pétalo" dataDxfId="109"/>
    <tableColumn id="5" xr3:uid="{58AFA5A6-7BC2-4799-90E7-889CC8832DB3}" name="Especies" dataDxfId="108"/>
    <tableColumn id="6" xr3:uid="{9C1ABEE4-00A3-421C-B5AD-26568B1B64FB}" name="Longitud del sépalo 2" dataDxfId="107"/>
    <tableColumn id="7" xr3:uid="{C3C94FF4-B5FA-4D0B-AF73-DBCE6CF86839}" name="Ancho del sépalo 2" dataDxfId="106"/>
    <tableColumn id="8" xr3:uid="{5415ED50-A32D-46E8-9335-6097CDCE8167}" name="Longitud del pétalo 2" dataDxfId="105"/>
    <tableColumn id="9" xr3:uid="{0B63011F-2437-4932-A223-540B87416430}" name="Ancho del pétalo 2" dataDxfId="104"/>
  </tableColumns>
  <tableStyleInfo name="TableStyleLight14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CA8B1D4-9B21-4992-A6ED-925930C2AA9F}" name="Tabla39" displayName="Tabla39" ref="B26:J37" totalsRowShown="0" headerRowDxfId="103" headerRowBorderDxfId="102" tableBorderDxfId="101" totalsRowBorderDxfId="100">
  <autoFilter ref="B26:J37" xr:uid="{0CA8B1D4-9B21-4992-A6ED-925930C2AA9F}"/>
  <tableColumns count="9">
    <tableColumn id="1" xr3:uid="{2F5B2F4B-AAED-4A46-83A1-9B3AD17D4D1B}" name="Longitud del sépalo" dataDxfId="99"/>
    <tableColumn id="2" xr3:uid="{4A91D3CC-3B37-4EC5-B618-937B136272FB}" name="Ancho del sépalo" dataDxfId="98"/>
    <tableColumn id="3" xr3:uid="{B7082C17-95A6-464F-BDC9-6758158847DF}" name="Longitud del pétalo" dataDxfId="97"/>
    <tableColumn id="4" xr3:uid="{FB156529-56A2-4F85-A92F-0DBD3E1C58A5}" name="Ancho del pétalo" dataDxfId="96"/>
    <tableColumn id="5" xr3:uid="{57393BB6-4CE5-477A-8F88-174E2D598B83}" name="Especies" dataDxfId="95"/>
    <tableColumn id="6" xr3:uid="{2DB0A206-F66A-460E-91E3-D31934C14C28}" name="Longitud del sépalo 2" dataDxfId="94"/>
    <tableColumn id="7" xr3:uid="{DB515C09-8D6B-4B02-A3D5-80EABEB9F11C}" name="Ancho del sépalo 2" dataDxfId="93"/>
    <tableColumn id="8" xr3:uid="{3C25D4E5-3375-4E98-B9F5-AF11CA58AC38}" name="Longitud del pétalo 2" dataDxfId="92"/>
    <tableColumn id="9" xr3:uid="{EA379609-4FE9-4761-84D0-6E82D104DF1E}" name="Ancho del pétalo 2" dataDxfId="91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8C62421-9A49-4F2A-81BF-A3C17585AC02}" name="Tabla40" displayName="Tabla40" ref="B21:J22" totalsRowShown="0" headerRowDxfId="90" headerRowBorderDxfId="89" tableBorderDxfId="88" totalsRowBorderDxfId="87">
  <autoFilter ref="B21:J22" xr:uid="{38C62421-9A49-4F2A-81BF-A3C17585AC02}"/>
  <tableColumns count="9">
    <tableColumn id="1" xr3:uid="{FE5B7D2F-41B7-4C6E-AB44-E1553899901F}" name="Longitud del sépalo" dataDxfId="86"/>
    <tableColumn id="2" xr3:uid="{33EA21C9-77E0-4374-83CD-FEFC801194E9}" name="Ancho del sépalo" dataDxfId="85"/>
    <tableColumn id="3" xr3:uid="{C8F70BF2-0C4D-4CB2-9C6D-EB3C826868BB}" name="Longitud del pétalo" dataDxfId="84"/>
    <tableColumn id="4" xr3:uid="{B83AB4AD-CF73-498E-9683-5123C06A2B1B}" name="Ancho del pétalo" dataDxfId="83"/>
    <tableColumn id="5" xr3:uid="{B02F9680-3399-4310-8E82-D22A34394997}" name="Especies" dataDxfId="82"/>
    <tableColumn id="6" xr3:uid="{9194738D-4BA1-49AF-BF91-1448458C467B}" name="Longitud del sépalo 2" dataDxfId="81"/>
    <tableColumn id="7" xr3:uid="{1D74CAB0-9A65-4708-9A54-7249637325B5}" name="Ancho del sépalo 2" dataDxfId="80"/>
    <tableColumn id="8" xr3:uid="{7DF9C95D-18E5-4E51-8986-79FDBDA15CFC}" name="Longitud del pétalo 2" dataDxfId="79"/>
    <tableColumn id="9" xr3:uid="{8EDC9FFB-E678-43CD-ADDF-1DEBEE17C561}" name="Ancho del pétalo 2" dataDxfId="78"/>
  </tableColumns>
  <tableStyleInfo name="TableStyleLight14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C5A0A0AD-186B-4845-93E4-4EB7973CCE96}" name="Tabla10232742" displayName="Tabla10232742" ref="B2:J10" totalsRowShown="0" headerRowDxfId="77" headerRowBorderDxfId="76" tableBorderDxfId="75" totalsRowBorderDxfId="74">
  <autoFilter ref="B2:J10" xr:uid="{C5A0A0AD-186B-4845-93E4-4EB7973CCE96}"/>
  <tableColumns count="9">
    <tableColumn id="1" xr3:uid="{F220458B-46E2-458F-81A1-6EA7DA850178}" name="Longitud del sépalo" dataDxfId="73"/>
    <tableColumn id="2" xr3:uid="{73FE75F7-6734-452A-8268-6B1DB4988F8F}" name="Ancho del sépalo" dataDxfId="72"/>
    <tableColumn id="3" xr3:uid="{0C2FE904-EDB8-4D31-A79B-CBA7D182CE86}" name="Longitud del pétalo" dataDxfId="71"/>
    <tableColumn id="4" xr3:uid="{04FE495B-C445-456E-BAA7-B412563729AD}" name="Ancho del pétalo" dataDxfId="70"/>
    <tableColumn id="5" xr3:uid="{3C8DC3B5-E12D-413C-B710-FB49F11A51A0}" name="Especies" dataDxfId="69"/>
    <tableColumn id="6" xr3:uid="{97D72ABD-DE43-4EE4-8FD6-42FA2A2B88E6}" name="Longitud del sépalo 2" dataDxfId="68"/>
    <tableColumn id="7" xr3:uid="{00229782-5E84-4A87-86BD-8787C588DB59}" name="Ancho del sépalo 2" dataDxfId="67"/>
    <tableColumn id="8" xr3:uid="{11658903-DDCF-4B72-AE1D-2B6ECE111C77}" name="Longitud del pétalo 2" dataDxfId="66"/>
    <tableColumn id="9" xr3:uid="{BF62065A-A743-4288-BBE5-DDBBCA45AA42}" name="Ancho del pétalo 2" dataDxfId="65"/>
  </tableColumns>
  <tableStyleInfo name="TableStyleMedium15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AB7356EF-023F-435F-91C5-B6FA8E801B9C}" name="Tabla42" displayName="Tabla42" ref="B20:J23" totalsRowShown="0" headerRowDxfId="64" headerRowBorderDxfId="63" tableBorderDxfId="62" totalsRowBorderDxfId="61">
  <autoFilter ref="B20:J23" xr:uid="{AB7356EF-023F-435F-91C5-B6FA8E801B9C}"/>
  <tableColumns count="9">
    <tableColumn id="1" xr3:uid="{97FA2529-BACE-468C-814B-F05C74F929B7}" name="Longitud del sépalo" dataDxfId="60"/>
    <tableColumn id="2" xr3:uid="{7568DFFF-6CBC-45D5-B381-3B0439EED8AB}" name="Ancho del sépalo" dataDxfId="59"/>
    <tableColumn id="3" xr3:uid="{7D8D7032-DEC0-46C7-861B-EBFD7DDA0616}" name="Longitud del pétalo" dataDxfId="58"/>
    <tableColumn id="4" xr3:uid="{D5C3DA55-4A34-4684-A757-881F61D97E67}" name="Ancho del pétalo" dataDxfId="57"/>
    <tableColumn id="5" xr3:uid="{BAA755A7-881A-4B01-A525-B7F14E4450DA}" name="Especies" dataDxfId="56"/>
    <tableColumn id="6" xr3:uid="{306879E6-5CE7-4983-A240-C083EF26797A}" name="Longitud del sépalo 2" dataDxfId="55"/>
    <tableColumn id="7" xr3:uid="{2E6834B1-FF55-47A8-B1FC-3A6AFCFF1635}" name="Ancho del sépalo 2" dataDxfId="54"/>
    <tableColumn id="8" xr3:uid="{06895374-E6F2-4719-896F-ED8EB893CCE7}" name="Longitud del pétalo 2" dataDxfId="53"/>
    <tableColumn id="9" xr3:uid="{4AF21090-4BF2-43E4-8AAE-55D34DEB3B81}" name="Ancho del pétalo 2" dataDxfId="52"/>
  </tableColumns>
  <tableStyleInfo name="TableStyleLight14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CAE1690A-1AB4-4B62-BFD5-67BDEBD10406}" name="Tabla43" displayName="Tabla43" ref="B27:J32" totalsRowShown="0" headerRowDxfId="51" headerRowBorderDxfId="50" tableBorderDxfId="49" totalsRowBorderDxfId="48">
  <autoFilter ref="B27:J32" xr:uid="{CAE1690A-1AB4-4B62-BFD5-67BDEBD10406}"/>
  <tableColumns count="9">
    <tableColumn id="1" xr3:uid="{6DD6D1B5-252D-4F60-9A28-F7F9B0B788B7}" name="Longitud del sépalo" dataDxfId="47"/>
    <tableColumn id="2" xr3:uid="{30007EF9-D278-46AD-992F-F3D7AA23B05D}" name="Ancho del sépalo" dataDxfId="46"/>
    <tableColumn id="3" xr3:uid="{5318576C-D063-4ECD-B2A1-F61DD092E663}" name="Longitud del pétalo" dataDxfId="45"/>
    <tableColumn id="4" xr3:uid="{EAE71673-77F0-46C6-A4D0-9B0D90E54D3D}" name="Ancho del pétalo" dataDxfId="44"/>
    <tableColumn id="5" xr3:uid="{DA9FDA61-4AC1-4FEA-9FE5-9D427237E0D6}" name="Especies" dataDxfId="43"/>
    <tableColumn id="6" xr3:uid="{609BF90C-7B0C-4C71-A8D3-096D95018774}" name="Longitud del sépalo 2" dataDxfId="42"/>
    <tableColumn id="7" xr3:uid="{45B47D92-DEB1-426E-9520-23767215D9A3}" name="Ancho del sépalo 2" dataDxfId="41"/>
    <tableColumn id="8" xr3:uid="{EA930743-463E-420B-A95A-80C87CC31211}" name="Longitud del pétalo 2" dataDxfId="40"/>
    <tableColumn id="9" xr3:uid="{7ACF1E92-73BA-4A21-AA99-3CAA706E41A2}" name="Ancho del pétalo 2" dataDxfId="39"/>
  </tableColumns>
  <tableStyleInfo name="TableStyleLight14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A5A57A8-84C2-404D-9D77-46DD2F3D1C01}" name="Tabla1023274245" displayName="Tabla1023274245" ref="B2:J10" totalsRowShown="0" headerRowDxfId="38" headerRowBorderDxfId="37" tableBorderDxfId="36" totalsRowBorderDxfId="35">
  <autoFilter ref="B2:J10" xr:uid="{C5A0A0AD-186B-4845-93E4-4EB7973CCE96}"/>
  <tableColumns count="9">
    <tableColumn id="1" xr3:uid="{FF7CD332-CFC9-4C77-9525-8A80C434FD57}" name="Longitud del sépalo" dataDxfId="34"/>
    <tableColumn id="2" xr3:uid="{084CE228-4994-496D-B04D-90DEB306CCF2}" name="Ancho del sépalo" dataDxfId="33"/>
    <tableColumn id="3" xr3:uid="{FC77FAF6-CD9C-46BE-B0FF-6211AE63022E}" name="Longitud del pétalo" dataDxfId="32"/>
    <tableColumn id="4" xr3:uid="{21F83EA4-D398-4357-9BD7-FA3CC3BA4EF6}" name="Ancho del pétalo" dataDxfId="31"/>
    <tableColumn id="5" xr3:uid="{951E69F2-A687-4587-81DE-4ADF71842F5D}" name="Especies" dataDxfId="30"/>
    <tableColumn id="6" xr3:uid="{ACB6F289-9491-44D0-A68B-1670D777F10E}" name="Longitud del sépalo 2" dataDxfId="29"/>
    <tableColumn id="7" xr3:uid="{7C3A0772-1DDA-454B-A8BE-E3AF2FCF8724}" name="Ancho del sépalo 2" dataDxfId="28"/>
    <tableColumn id="8" xr3:uid="{3DB461E8-0561-4EAE-83F9-CA280BBC6056}" name="Longitud del pétalo 2" dataDxfId="27"/>
    <tableColumn id="9" xr3:uid="{790A8C3A-B6CB-449D-BE20-FD0852D9225F}" name="Ancho del pétalo 2" dataDxfId="26"/>
  </tableColumns>
  <tableStyleInfo name="TableStyleMedium15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5D470D4A-9A6A-4E96-B112-4C46BD3633B2}" name="Tabla4246" displayName="Tabla4246" ref="B20:J23" totalsRowShown="0" headerRowDxfId="25" headerRowBorderDxfId="24" tableBorderDxfId="23" totalsRowBorderDxfId="22">
  <autoFilter ref="B20:J23" xr:uid="{AB7356EF-023F-435F-91C5-B6FA8E801B9C}"/>
  <tableColumns count="9">
    <tableColumn id="1" xr3:uid="{D3F7D363-B9A2-493D-9776-245FD67DD09D}" name="Longitud del sépalo" dataDxfId="21"/>
    <tableColumn id="2" xr3:uid="{55293085-3DCB-41DF-9E2F-D15C3AE67F7F}" name="Ancho del sépalo" dataDxfId="20"/>
    <tableColumn id="3" xr3:uid="{D44A9ED7-C975-4593-BEBC-E94CE7568718}" name="Longitud del pétalo" dataDxfId="19"/>
    <tableColumn id="4" xr3:uid="{BC43D098-7293-405D-8538-CEAB028CC553}" name="Ancho del pétalo" dataDxfId="18"/>
    <tableColumn id="5" xr3:uid="{6035A65A-19D9-45A3-936C-0220E710FB89}" name="Especies" dataDxfId="17"/>
    <tableColumn id="6" xr3:uid="{F8D61137-583A-4AD6-AA85-6CB7693EDBBD}" name="Longitud del sépalo 2" dataDxfId="16"/>
    <tableColumn id="7" xr3:uid="{9EBCE2B5-31A8-4653-893A-842221DF9FE1}" name="Ancho del sépalo 2" dataDxfId="15"/>
    <tableColumn id="8" xr3:uid="{F678C78D-ECEB-4A09-9A6E-5C661FEA3198}" name="Longitud del pétalo 2" dataDxfId="14"/>
    <tableColumn id="9" xr3:uid="{0AA336CC-6E3E-4915-88B1-F5A0A338E4F4}" name="Ancho del pétalo 2" dataDxfId="13"/>
  </tableColumns>
  <tableStyleInfo name="TableStyleLight14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E52DF640-FB34-4BB2-BF75-9C6E51C3CD68}" name="Tabla4347" displayName="Tabla4347" ref="B27:J32" totalsRowShown="0" headerRowDxfId="12" headerRowBorderDxfId="11" tableBorderDxfId="10" totalsRowBorderDxfId="9">
  <autoFilter ref="B27:J32" xr:uid="{CAE1690A-1AB4-4B62-BFD5-67BDEBD10406}"/>
  <tableColumns count="9">
    <tableColumn id="1" xr3:uid="{03EF38BD-3B73-4CAD-8732-29559FDC5705}" name="Longitud del sépalo" dataDxfId="8"/>
    <tableColumn id="2" xr3:uid="{E80BCE35-4507-4A22-AAD6-7FDEF28E10EF}" name="Ancho del sépalo" dataDxfId="7"/>
    <tableColumn id="3" xr3:uid="{5346A934-19DF-48C1-AB3A-87F92446CE63}" name="Longitud del pétalo" dataDxfId="6"/>
    <tableColumn id="4" xr3:uid="{F9553A80-1FAF-41B5-9544-A847DF928243}" name="Ancho del pétalo" dataDxfId="5"/>
    <tableColumn id="5" xr3:uid="{1EEC75A6-D662-444B-BD7D-F5FF725761C2}" name="Especies" dataDxfId="4"/>
    <tableColumn id="6" xr3:uid="{156EA26B-34C7-4F40-BBBB-CD528A9CB3F4}" name="Longitud del sépalo2" dataDxfId="3"/>
    <tableColumn id="7" xr3:uid="{AF266997-3930-4AC2-8EE0-792FEB01EA5E}" name="Ancho del sépalo 2" dataDxfId="2"/>
    <tableColumn id="8" xr3:uid="{0BD1D195-84E7-425B-9001-6F7ACDCCB73C}" name="Longitud del pétalo 2" dataDxfId="1"/>
    <tableColumn id="9" xr3:uid="{15A7F62B-32EE-4FDA-99CD-8195AC1F4FF6}" name="Ancho del pétalo 2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Relationship Id="rId4" Type="http://schemas.openxmlformats.org/officeDocument/2006/relationships/table" Target="../tables/table2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Relationship Id="rId4" Type="http://schemas.openxmlformats.org/officeDocument/2006/relationships/table" Target="../tables/table3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table" Target="../tables/table3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2" Type="http://schemas.openxmlformats.org/officeDocument/2006/relationships/table" Target="../tables/table39.xml"/><Relationship Id="rId1" Type="http://schemas.openxmlformats.org/officeDocument/2006/relationships/table" Target="../tables/table3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" Type="http://schemas.openxmlformats.org/officeDocument/2006/relationships/table" Target="../tables/table4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table" Target="../tables/table45.xml"/><Relationship Id="rId1" Type="http://schemas.openxmlformats.org/officeDocument/2006/relationships/table" Target="../tables/table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31D39-DD44-476C-BB2E-64CC68CC5310}">
  <dimension ref="B1:AD218"/>
  <sheetViews>
    <sheetView tabSelected="1" topLeftCell="H96" zoomScale="85" zoomScaleNormal="85" workbookViewId="0">
      <selection activeCell="R11" sqref="R11"/>
    </sheetView>
  </sheetViews>
  <sheetFormatPr baseColWidth="10" defaultRowHeight="15"/>
  <cols>
    <col min="2" max="2" width="18.7109375" customWidth="1"/>
    <col min="3" max="3" width="18.28515625" customWidth="1"/>
    <col min="4" max="5" width="18.7109375" customWidth="1"/>
    <col min="6" max="6" width="14.7109375" customWidth="1"/>
    <col min="7" max="7" width="20.140625" customWidth="1"/>
    <col min="8" max="8" width="18.85546875" customWidth="1"/>
    <col min="9" max="9" width="19.7109375" customWidth="1"/>
    <col min="10" max="10" width="17.85546875" customWidth="1"/>
    <col min="11" max="11" width="15.42578125" customWidth="1"/>
    <col min="12" max="12" width="18.7109375" customWidth="1"/>
    <col min="13" max="13" width="17" customWidth="1"/>
    <col min="14" max="14" width="18.7109375" customWidth="1"/>
    <col min="15" max="15" width="16.85546875" customWidth="1"/>
    <col min="16" max="16" width="18.42578125" customWidth="1"/>
    <col min="17" max="17" width="19.7109375" customWidth="1"/>
    <col min="18" max="18" width="18" customWidth="1"/>
    <col min="19" max="19" width="19.7109375" customWidth="1"/>
    <col min="20" max="20" width="17.85546875" customWidth="1"/>
    <col min="22" max="22" width="18.7109375" customWidth="1"/>
    <col min="23" max="23" width="17" customWidth="1"/>
    <col min="24" max="24" width="18.7109375" customWidth="1"/>
    <col min="25" max="25" width="16.85546875" customWidth="1"/>
    <col min="27" max="27" width="19.7109375" customWidth="1"/>
    <col min="28" max="28" width="18" customWidth="1"/>
    <col min="29" max="29" width="19.7109375" customWidth="1"/>
    <col min="30" max="30" width="17.85546875" customWidth="1"/>
  </cols>
  <sheetData>
    <row r="1" spans="2:17">
      <c r="B1" s="90" t="s">
        <v>20</v>
      </c>
      <c r="C1" s="90" t="s">
        <v>21</v>
      </c>
      <c r="D1" s="90" t="s">
        <v>22</v>
      </c>
      <c r="E1" s="90" t="s">
        <v>23</v>
      </c>
      <c r="F1" s="90" t="s">
        <v>24</v>
      </c>
      <c r="G1" s="90" t="s">
        <v>20</v>
      </c>
      <c r="H1" s="91" t="s">
        <v>21</v>
      </c>
      <c r="I1" s="91" t="s">
        <v>22</v>
      </c>
      <c r="J1" s="91" t="s">
        <v>23</v>
      </c>
      <c r="K1" s="91" t="s">
        <v>24</v>
      </c>
    </row>
    <row r="2" spans="2:17">
      <c r="B2" s="92">
        <v>4.3</v>
      </c>
      <c r="C2" s="92">
        <v>3</v>
      </c>
      <c r="D2" s="92">
        <v>1.1000000000000001</v>
      </c>
      <c r="E2" s="92">
        <v>0.1</v>
      </c>
      <c r="F2" s="92" t="s">
        <v>25</v>
      </c>
      <c r="G2" s="92" t="str">
        <f>IF([1]!DataIris[[#This Row],[Largo de sépalo]]&lt;=5.5,"CORTO",IF([1]!DataIris[[#This Row],[Largo de sépalo]]&lt;=6.7,"MEDIANO","LARGO"))</f>
        <v>CORTO</v>
      </c>
      <c r="H2" s="92" t="str">
        <f>IF([1]!DataIris[[#This Row],[Ancho de sépalo]]&lt;=3.2,"ESTRECHO","ANCHO")</f>
        <v>ESTRECHO</v>
      </c>
      <c r="I2" s="92" t="str">
        <f>IF([1]!DataIris[[#This Row],[Largo de pétalo]]&lt;=3,"CORTO",IF([1]!DataIris[[#This Row],[Largo de pétalo]]&lt;=5,"MEDIANO","LARGO"))</f>
        <v>CORTO</v>
      </c>
      <c r="J2" s="92" t="str">
        <f>IF([1]!DataIris[[#This Row],[Ancho de pétalo]]&lt;=1.4,"ESTRECHO","ANCHO")</f>
        <v>ESTRECHO</v>
      </c>
      <c r="K2" s="92" t="s">
        <v>25</v>
      </c>
    </row>
    <row r="3" spans="2:17" ht="15.75">
      <c r="B3" s="92">
        <v>4.4000000000000004</v>
      </c>
      <c r="C3" s="92">
        <v>3</v>
      </c>
      <c r="D3" s="92">
        <v>1.3</v>
      </c>
      <c r="E3" s="92">
        <v>0.2</v>
      </c>
      <c r="F3" s="92" t="s">
        <v>25</v>
      </c>
      <c r="G3" s="92" t="str">
        <f>IF([1]!DataIris[[#This Row],[Largo de sépalo]]&lt;=5.5,"CORTO",IF([1]!DataIris[[#This Row],[Largo de sépalo]]&lt;=6.7,"MEDIANO","LARGO"))</f>
        <v>CORTO</v>
      </c>
      <c r="H3" s="92" t="str">
        <f>IF([1]!DataIris[[#This Row],[Ancho de sépalo]]&lt;=3.2,"ESTRECHO","ANCHO")</f>
        <v>ESTRECHO</v>
      </c>
      <c r="I3" s="92" t="str">
        <f>IF([1]!DataIris[[#This Row],[Largo de pétalo]]&lt;=3,"CORTO",IF([1]!DataIris[[#This Row],[Largo de pétalo]]&lt;=5,"MEDIANO","LARGO"))</f>
        <v>CORTO</v>
      </c>
      <c r="J3" s="92" t="str">
        <f>IF([1]!DataIris[[#This Row],[Ancho de pétalo]]&lt;=1.4,"ESTRECHO","ANCHO")</f>
        <v>ESTRECHO</v>
      </c>
      <c r="K3" s="92" t="s">
        <v>26</v>
      </c>
      <c r="M3" s="39"/>
      <c r="N3" s="121" t="s">
        <v>39</v>
      </c>
      <c r="O3" s="121"/>
      <c r="P3" s="121"/>
      <c r="Q3" s="40"/>
    </row>
    <row r="4" spans="2:17" ht="15.75">
      <c r="B4" s="92">
        <v>4.4000000000000004</v>
      </c>
      <c r="C4" s="92">
        <v>3.2</v>
      </c>
      <c r="D4" s="92">
        <v>1.3</v>
      </c>
      <c r="E4" s="92">
        <v>0.2</v>
      </c>
      <c r="F4" s="92" t="s">
        <v>25</v>
      </c>
      <c r="G4" s="92" t="str">
        <f>IF([1]!DataIris[[#This Row],[Largo de sépalo]]&lt;=5.5,"CORTO",IF([1]!DataIris[[#This Row],[Largo de sépalo]]&lt;=6.7,"MEDIANO","LARGO"))</f>
        <v>CORTO</v>
      </c>
      <c r="H4" s="92" t="str">
        <f>IF([1]!DataIris[[#This Row],[Ancho de sépalo]]&lt;=3.2,"ESTRECHO","ANCHO")</f>
        <v>ESTRECHO</v>
      </c>
      <c r="I4" s="92" t="str">
        <f>IF([1]!DataIris[[#This Row],[Largo de pétalo]]&lt;=3,"CORTO",IF([1]!DataIris[[#This Row],[Largo de pétalo]]&lt;=5,"MEDIANO","LARGO"))</f>
        <v>CORTO</v>
      </c>
      <c r="J4" s="92" t="str">
        <f>IF([1]!DataIris[[#This Row],[Ancho de pétalo]]&lt;=1.4,"ESTRECHO","ANCHO")</f>
        <v>ESTRECHO</v>
      </c>
      <c r="K4" s="92" t="s">
        <v>25</v>
      </c>
      <c r="M4" s="41"/>
      <c r="N4" s="120" t="s">
        <v>40</v>
      </c>
      <c r="O4" s="120"/>
      <c r="P4" s="120"/>
      <c r="Q4" s="42"/>
    </row>
    <row r="5" spans="2:17" ht="15.75">
      <c r="B5" s="92">
        <v>4.4000000000000004</v>
      </c>
      <c r="C5" s="92">
        <v>2.9</v>
      </c>
      <c r="D5" s="92">
        <v>1.4</v>
      </c>
      <c r="E5" s="92">
        <v>0.2</v>
      </c>
      <c r="F5" s="92" t="s">
        <v>25</v>
      </c>
      <c r="G5" s="92" t="str">
        <f>IF([1]!DataIris[[#This Row],[Largo de sépalo]]&lt;=5.5,"CORTO",IF([1]!DataIris[[#This Row],[Largo de sépalo]]&lt;=6.7,"MEDIANO","LARGO"))</f>
        <v>CORTO</v>
      </c>
      <c r="H5" s="92" t="str">
        <f>IF([1]!DataIris[[#This Row],[Ancho de sépalo]]&lt;=3.2,"ESTRECHO","ANCHO")</f>
        <v>ESTRECHO</v>
      </c>
      <c r="I5" s="92" t="str">
        <f>IF([1]!DataIris[[#This Row],[Largo de pétalo]]&lt;=3,"CORTO",IF([1]!DataIris[[#This Row],[Largo de pétalo]]&lt;=5,"MEDIANO","LARGO"))</f>
        <v>CORTO</v>
      </c>
      <c r="J5" s="92" t="str">
        <f>IF([1]!DataIris[[#This Row],[Ancho de pétalo]]&lt;=1.4,"ESTRECHO","ANCHO")</f>
        <v>ESTRECHO</v>
      </c>
      <c r="K5" s="92" t="s">
        <v>27</v>
      </c>
      <c r="M5" s="41"/>
      <c r="N5" s="120" t="s">
        <v>41</v>
      </c>
      <c r="O5" s="120"/>
      <c r="P5" s="120"/>
      <c r="Q5" s="42"/>
    </row>
    <row r="6" spans="2:17">
      <c r="B6" s="92">
        <v>4.5</v>
      </c>
      <c r="C6" s="92">
        <v>2.2999999999999998</v>
      </c>
      <c r="D6" s="92">
        <v>1.3</v>
      </c>
      <c r="E6" s="92">
        <v>0.3</v>
      </c>
      <c r="F6" s="92" t="s">
        <v>25</v>
      </c>
      <c r="G6" s="92" t="str">
        <f>IF([1]!DataIris[[#This Row],[Largo de sépalo]]&lt;=5.5,"CORTO",IF([1]!DataIris[[#This Row],[Largo de sépalo]]&lt;=6.7,"MEDIANO","LARGO"))</f>
        <v>CORTO</v>
      </c>
      <c r="H6" s="92" t="str">
        <f>IF([1]!DataIris[[#This Row],[Ancho de sépalo]]&lt;=3.2,"ESTRECHO","ANCHO")</f>
        <v>ESTRECHO</v>
      </c>
      <c r="I6" s="92" t="str">
        <f>IF([1]!DataIris[[#This Row],[Largo de pétalo]]&lt;=3,"CORTO",IF([1]!DataIris[[#This Row],[Largo de pétalo]]&lt;=5,"MEDIANO","LARGO"))</f>
        <v>CORTO</v>
      </c>
      <c r="J6" s="92" t="str">
        <f>IF([1]!DataIris[[#This Row],[Ancho de pétalo]]&lt;=1.4,"ESTRECHO","ANCHO")</f>
        <v>ESTRECHO</v>
      </c>
      <c r="K6" s="92" t="s">
        <v>26</v>
      </c>
      <c r="M6" s="41"/>
      <c r="Q6" s="42"/>
    </row>
    <row r="7" spans="2:17" ht="15.75">
      <c r="B7" s="92">
        <v>4.5999999999999996</v>
      </c>
      <c r="C7" s="92">
        <v>3.6</v>
      </c>
      <c r="D7" s="92">
        <v>1</v>
      </c>
      <c r="E7" s="92">
        <v>0.2</v>
      </c>
      <c r="F7" s="92" t="s">
        <v>25</v>
      </c>
      <c r="G7" s="92" t="str">
        <f>IF([1]!DataIris[[#This Row],[Largo de sépalo]]&lt;=5.5,"CORTO",IF([1]!DataIris[[#This Row],[Largo de sépalo]]&lt;=6.7,"MEDIANO","LARGO"))</f>
        <v>CORTO</v>
      </c>
      <c r="H7" s="92" t="str">
        <f>IF([1]!DataIris[[#This Row],[Ancho de sépalo]]&lt;=3.2,"ESTRECHO","ANCHO")</f>
        <v>ANCHO</v>
      </c>
      <c r="I7" s="92" t="str">
        <f>IF([1]!DataIris[[#This Row],[Largo de pétalo]]&lt;=3,"CORTO",IF([1]!DataIris[[#This Row],[Largo de pétalo]]&lt;=5,"MEDIANO","LARGO"))</f>
        <v>CORTO</v>
      </c>
      <c r="J7" s="92" t="str">
        <f>IF([1]!DataIris[[#This Row],[Ancho de pétalo]]&lt;=1.4,"ESTRECHO","ANCHO")</f>
        <v>ESTRECHO</v>
      </c>
      <c r="K7" s="92" t="s">
        <v>26</v>
      </c>
      <c r="M7" s="41"/>
      <c r="N7" s="118" t="s">
        <v>42</v>
      </c>
      <c r="O7" s="118"/>
      <c r="P7" s="118"/>
      <c r="Q7" s="42"/>
    </row>
    <row r="8" spans="2:17">
      <c r="B8" s="92">
        <v>4.5999999999999996</v>
      </c>
      <c r="C8" s="92">
        <v>3.2</v>
      </c>
      <c r="D8" s="92">
        <v>1.4</v>
      </c>
      <c r="E8" s="92">
        <v>0.2</v>
      </c>
      <c r="F8" s="92" t="s">
        <v>25</v>
      </c>
      <c r="G8" s="92" t="str">
        <f>IF([1]!DataIris[[#This Row],[Largo de sépalo]]&lt;=5.5,"CORTO",IF([1]!DataIris[[#This Row],[Largo de sépalo]]&lt;=6.7,"MEDIANO","LARGO"))</f>
        <v>CORTO</v>
      </c>
      <c r="H8" s="92" t="str">
        <f>IF([1]!DataIris[[#This Row],[Ancho de sépalo]]&lt;=3.2,"ESTRECHO","ANCHO")</f>
        <v>ESTRECHO</v>
      </c>
      <c r="I8" s="92" t="str">
        <f>IF([1]!DataIris[[#This Row],[Largo de pétalo]]&lt;=3,"CORTO",IF([1]!DataIris[[#This Row],[Largo de pétalo]]&lt;=5,"MEDIANO","LARGO"))</f>
        <v>CORTO</v>
      </c>
      <c r="J8" s="92" t="str">
        <f>IF([1]!DataIris[[#This Row],[Ancho de pétalo]]&lt;=1.4,"ESTRECHO","ANCHO")</f>
        <v>ESTRECHO</v>
      </c>
      <c r="K8" s="92" t="s">
        <v>25</v>
      </c>
      <c r="M8" s="41"/>
      <c r="Q8" s="42"/>
    </row>
    <row r="9" spans="2:17" ht="15.75">
      <c r="B9" s="92">
        <v>4.5999999999999996</v>
      </c>
      <c r="C9" s="92">
        <v>3.1</v>
      </c>
      <c r="D9" s="92">
        <v>1.5</v>
      </c>
      <c r="E9" s="92">
        <v>0.2</v>
      </c>
      <c r="F9" s="92" t="s">
        <v>25</v>
      </c>
      <c r="G9" s="92" t="str">
        <f>IF([1]!DataIris[[#This Row],[Largo de sépalo]]&lt;=5.5,"CORTO",IF([1]!DataIris[[#This Row],[Largo de sépalo]]&lt;=6.7,"MEDIANO","LARGO"))</f>
        <v>CORTO</v>
      </c>
      <c r="H9" s="92" t="str">
        <f>IF([1]!DataIris[[#This Row],[Ancho de sépalo]]&lt;=3.2,"ESTRECHO","ANCHO")</f>
        <v>ESTRECHO</v>
      </c>
      <c r="I9" s="92" t="str">
        <f>IF([1]!DataIris[[#This Row],[Largo de pétalo]]&lt;=3,"CORTO",IF([1]!DataIris[[#This Row],[Largo de pétalo]]&lt;=5,"MEDIANO","LARGO"))</f>
        <v>CORTO</v>
      </c>
      <c r="J9" s="92" t="str">
        <f>IF([1]!DataIris[[#This Row],[Ancho de pétalo]]&lt;=1.4,"ESTRECHO","ANCHO")</f>
        <v>ESTRECHO</v>
      </c>
      <c r="K9" s="92" t="s">
        <v>27</v>
      </c>
      <c r="M9" s="41"/>
      <c r="N9" s="117" t="s">
        <v>47</v>
      </c>
      <c r="O9" s="117"/>
      <c r="P9" s="117"/>
      <c r="Q9" s="42"/>
    </row>
    <row r="10" spans="2:17">
      <c r="B10" s="92">
        <v>4.5999999999999996</v>
      </c>
      <c r="C10" s="92">
        <v>3.4</v>
      </c>
      <c r="D10" s="92">
        <v>1.4</v>
      </c>
      <c r="E10" s="92">
        <v>0.3</v>
      </c>
      <c r="F10" s="92" t="s">
        <v>25</v>
      </c>
      <c r="G10" s="92" t="str">
        <f>IF([1]!DataIris[[#This Row],[Largo de sépalo]]&lt;=5.5,"CORTO",IF([1]!DataIris[[#This Row],[Largo de sépalo]]&lt;=6.7,"MEDIANO","LARGO"))</f>
        <v>CORTO</v>
      </c>
      <c r="H10" s="92" t="str">
        <f>IF([1]!DataIris[[#This Row],[Ancho de sépalo]]&lt;=3.2,"ESTRECHO","ANCHO")</f>
        <v>ANCHO</v>
      </c>
      <c r="I10" s="92" t="str">
        <f>IF([1]!DataIris[[#This Row],[Largo de pétalo]]&lt;=3,"CORTO",IF([1]!DataIris[[#This Row],[Largo de pétalo]]&lt;=5,"MEDIANO","LARGO"))</f>
        <v>CORTO</v>
      </c>
      <c r="J10" s="92" t="str">
        <f>IF([1]!DataIris[[#This Row],[Ancho de pétalo]]&lt;=1.4,"ESTRECHO","ANCHO")</f>
        <v>ESTRECHO</v>
      </c>
      <c r="K10" s="92" t="s">
        <v>27</v>
      </c>
      <c r="M10" s="41"/>
      <c r="Q10" s="42"/>
    </row>
    <row r="11" spans="2:17" ht="15.75">
      <c r="B11" s="92">
        <v>4.7</v>
      </c>
      <c r="C11" s="92">
        <v>3.2</v>
      </c>
      <c r="D11" s="92">
        <v>1.3</v>
      </c>
      <c r="E11" s="92">
        <v>0.2</v>
      </c>
      <c r="F11" s="92" t="s">
        <v>25</v>
      </c>
      <c r="G11" s="92" t="str">
        <f>IF([1]!DataIris[[#This Row],[Largo de sépalo]]&lt;=5.5,"CORTO",IF([1]!DataIris[[#This Row],[Largo de sépalo]]&lt;=6.7,"MEDIANO","LARGO"))</f>
        <v>CORTO</v>
      </c>
      <c r="H11" s="92" t="str">
        <f>IF([1]!DataIris[[#This Row],[Ancho de sépalo]]&lt;=3.2,"ESTRECHO","ANCHO")</f>
        <v>ESTRECHO</v>
      </c>
      <c r="I11" s="92" t="str">
        <f>IF([1]!DataIris[[#This Row],[Largo de pétalo]]&lt;=3,"CORTO",IF([1]!DataIris[[#This Row],[Largo de pétalo]]&lt;=5,"MEDIANO","LARGO"))</f>
        <v>CORTO</v>
      </c>
      <c r="J11" s="92" t="str">
        <f>IF([1]!DataIris[[#This Row],[Ancho de pétalo]]&lt;=1.4,"ESTRECHO","ANCHO")</f>
        <v>ESTRECHO</v>
      </c>
      <c r="K11" s="92" t="s">
        <v>26</v>
      </c>
      <c r="M11" s="41"/>
      <c r="N11" s="118" t="s">
        <v>43</v>
      </c>
      <c r="O11" s="118"/>
      <c r="P11" s="118"/>
      <c r="Q11" s="42"/>
    </row>
    <row r="12" spans="2:17">
      <c r="B12" s="92">
        <v>4.7</v>
      </c>
      <c r="C12" s="92">
        <v>3.2</v>
      </c>
      <c r="D12" s="92">
        <v>1.6</v>
      </c>
      <c r="E12" s="92">
        <v>0.2</v>
      </c>
      <c r="F12" s="92" t="s">
        <v>25</v>
      </c>
      <c r="G12" s="92" t="str">
        <f>IF([1]!DataIris[[#This Row],[Largo de sépalo]]&lt;=5.5,"CORTO",IF([1]!DataIris[[#This Row],[Largo de sépalo]]&lt;=6.7,"MEDIANO","LARGO"))</f>
        <v>CORTO</v>
      </c>
      <c r="H12" s="92" t="str">
        <f>IF([1]!DataIris[[#This Row],[Ancho de sépalo]]&lt;=3.2,"ESTRECHO","ANCHO")</f>
        <v>ESTRECHO</v>
      </c>
      <c r="I12" s="92" t="str">
        <f>IF([1]!DataIris[[#This Row],[Largo de pétalo]]&lt;=3,"CORTO",IF([1]!DataIris[[#This Row],[Largo de pétalo]]&lt;=5,"MEDIANO","LARGO"))</f>
        <v>CORTO</v>
      </c>
      <c r="J12" s="92" t="str">
        <f>IF([1]!DataIris[[#This Row],[Ancho de pétalo]]&lt;=1.4,"ESTRECHO","ANCHO")</f>
        <v>ESTRECHO</v>
      </c>
      <c r="K12" s="92" t="s">
        <v>26</v>
      </c>
      <c r="M12" s="41"/>
      <c r="Q12" s="42"/>
    </row>
    <row r="13" spans="2:17" ht="15.75">
      <c r="B13" s="92">
        <v>4.8</v>
      </c>
      <c r="C13" s="92">
        <v>3</v>
      </c>
      <c r="D13" s="92">
        <v>1.4</v>
      </c>
      <c r="E13" s="92">
        <v>0.1</v>
      </c>
      <c r="F13" s="92" t="s">
        <v>25</v>
      </c>
      <c r="G13" s="92" t="str">
        <f>IF([1]!DataIris[[#This Row],[Largo de sépalo]]&lt;=5.5,"CORTO",IF([1]!DataIris[[#This Row],[Largo de sépalo]]&lt;=6.7,"MEDIANO","LARGO"))</f>
        <v>CORTO</v>
      </c>
      <c r="H13" s="92" t="str">
        <f>IF([1]!DataIris[[#This Row],[Ancho de sépalo]]&lt;=3.2,"ESTRECHO","ANCHO")</f>
        <v>ESTRECHO</v>
      </c>
      <c r="I13" s="92" t="str">
        <f>IF([1]!DataIris[[#This Row],[Largo de pétalo]]&lt;=3,"CORTO",IF([1]!DataIris[[#This Row],[Largo de pétalo]]&lt;=5,"MEDIANO","LARGO"))</f>
        <v>CORTO</v>
      </c>
      <c r="J13" s="92" t="str">
        <f>IF([1]!DataIris[[#This Row],[Ancho de pétalo]]&lt;=1.4,"ESTRECHO","ANCHO")</f>
        <v>ESTRECHO</v>
      </c>
      <c r="K13" s="92" t="s">
        <v>26</v>
      </c>
      <c r="M13" s="41"/>
      <c r="N13" s="118" t="s">
        <v>44</v>
      </c>
      <c r="O13" s="118"/>
      <c r="P13" s="118"/>
      <c r="Q13" s="42"/>
    </row>
    <row r="14" spans="2:17">
      <c r="B14" s="92">
        <v>4.8</v>
      </c>
      <c r="C14" s="92">
        <v>3.1</v>
      </c>
      <c r="D14" s="92">
        <v>1.6</v>
      </c>
      <c r="E14" s="92">
        <v>0.2</v>
      </c>
      <c r="F14" s="92" t="s">
        <v>25</v>
      </c>
      <c r="G14" s="92" t="str">
        <f>IF([1]!DataIris[[#This Row],[Largo de sépalo]]&lt;=5.5,"CORTO",IF([1]!DataIris[[#This Row],[Largo de sépalo]]&lt;=6.7,"MEDIANO","LARGO"))</f>
        <v>CORTO</v>
      </c>
      <c r="H14" s="92" t="str">
        <f>IF([1]!DataIris[[#This Row],[Ancho de sépalo]]&lt;=3.2,"ESTRECHO","ANCHO")</f>
        <v>ESTRECHO</v>
      </c>
      <c r="I14" s="92" t="str">
        <f>IF([1]!DataIris[[#This Row],[Largo de pétalo]]&lt;=3,"CORTO",IF([1]!DataIris[[#This Row],[Largo de pétalo]]&lt;=5,"MEDIANO","LARGO"))</f>
        <v>CORTO</v>
      </c>
      <c r="J14" s="92" t="str">
        <f>IF([1]!DataIris[[#This Row],[Ancho de pétalo]]&lt;=1.4,"ESTRECHO","ANCHO")</f>
        <v>ESTRECHO</v>
      </c>
      <c r="K14" s="92" t="s">
        <v>26</v>
      </c>
      <c r="M14" s="41"/>
      <c r="Q14" s="42"/>
    </row>
    <row r="15" spans="2:17" ht="15.75">
      <c r="B15" s="92">
        <v>4.8</v>
      </c>
      <c r="C15" s="92">
        <v>3.4</v>
      </c>
      <c r="D15" s="92">
        <v>1.6</v>
      </c>
      <c r="E15" s="92">
        <v>0.2</v>
      </c>
      <c r="F15" s="92" t="s">
        <v>25</v>
      </c>
      <c r="G15" s="92" t="str">
        <f>IF([1]!DataIris[[#This Row],[Largo de sépalo]]&lt;=5.5,"CORTO",IF([1]!DataIris[[#This Row],[Largo de sépalo]]&lt;=6.7,"MEDIANO","LARGO"))</f>
        <v>CORTO</v>
      </c>
      <c r="H15" s="92" t="str">
        <f>IF([1]!DataIris[[#This Row],[Ancho de sépalo]]&lt;=3.2,"ESTRECHO","ANCHO")</f>
        <v>ANCHO</v>
      </c>
      <c r="I15" s="92" t="str">
        <f>IF([1]!DataIris[[#This Row],[Largo de pétalo]]&lt;=3,"CORTO",IF([1]!DataIris[[#This Row],[Largo de pétalo]]&lt;=5,"MEDIANO","LARGO"))</f>
        <v>CORTO</v>
      </c>
      <c r="J15" s="92" t="str">
        <f>IF([1]!DataIris[[#This Row],[Ancho de pétalo]]&lt;=1.4,"ESTRECHO","ANCHO")</f>
        <v>ESTRECHO</v>
      </c>
      <c r="K15" s="92" t="s">
        <v>27</v>
      </c>
      <c r="M15" s="41"/>
      <c r="N15" s="113" t="s">
        <v>45</v>
      </c>
      <c r="O15" s="118" t="s">
        <v>46</v>
      </c>
      <c r="P15" s="118"/>
      <c r="Q15" s="114">
        <v>210487</v>
      </c>
    </row>
    <row r="16" spans="2:17" ht="15.75">
      <c r="B16" s="92">
        <v>4.8</v>
      </c>
      <c r="C16" s="92">
        <v>3.4</v>
      </c>
      <c r="D16" s="92">
        <v>1.9</v>
      </c>
      <c r="E16" s="92">
        <v>0.2</v>
      </c>
      <c r="F16" s="92" t="s">
        <v>25</v>
      </c>
      <c r="G16" s="92" t="str">
        <f>IF([1]!DataIris[[#This Row],[Largo de sépalo]]&lt;=5.5,"CORTO",IF([1]!DataIris[[#This Row],[Largo de sépalo]]&lt;=6.7,"MEDIANO","LARGO"))</f>
        <v>CORTO</v>
      </c>
      <c r="H16" s="92" t="str">
        <f>IF([1]!DataIris[[#This Row],[Ancho de sépalo]]&lt;=3.2,"ESTRECHO","ANCHO")</f>
        <v>ANCHO</v>
      </c>
      <c r="I16" s="92" t="str">
        <f>IF([1]!DataIris[[#This Row],[Largo de pétalo]]&lt;=3,"CORTO",IF([1]!DataIris[[#This Row],[Largo de pétalo]]&lt;=5,"MEDIANO","LARGO"))</f>
        <v>CORTO</v>
      </c>
      <c r="J16" s="92" t="str">
        <f>IF([1]!DataIris[[#This Row],[Ancho de pétalo]]&lt;=1.4,"ESTRECHO","ANCHO")</f>
        <v>ESTRECHO</v>
      </c>
      <c r="K16" s="92" t="s">
        <v>27</v>
      </c>
      <c r="M16" s="43"/>
      <c r="N16" s="115"/>
      <c r="O16" s="119"/>
      <c r="P16" s="119"/>
      <c r="Q16" s="116"/>
    </row>
    <row r="17" spans="2:11">
      <c r="B17" s="92">
        <v>4.8</v>
      </c>
      <c r="C17" s="92">
        <v>3</v>
      </c>
      <c r="D17" s="92">
        <v>1.4</v>
      </c>
      <c r="E17" s="92">
        <v>0.3</v>
      </c>
      <c r="F17" s="92" t="s">
        <v>25</v>
      </c>
      <c r="G17" s="92" t="str">
        <f>IF([1]!DataIris[[#This Row],[Largo de sépalo]]&lt;=5.5,"CORTO",IF([1]!DataIris[[#This Row],[Largo de sépalo]]&lt;=6.7,"MEDIANO","LARGO"))</f>
        <v>CORTO</v>
      </c>
      <c r="H17" s="92" t="str">
        <f>IF([1]!DataIris[[#This Row],[Ancho de sépalo]]&lt;=3.2,"ESTRECHO","ANCHO")</f>
        <v>ESTRECHO</v>
      </c>
      <c r="I17" s="92" t="str">
        <f>IF([1]!DataIris[[#This Row],[Largo de pétalo]]&lt;=3,"CORTO",IF([1]!DataIris[[#This Row],[Largo de pétalo]]&lt;=5,"MEDIANO","LARGO"))</f>
        <v>CORTO</v>
      </c>
      <c r="J17" s="92" t="str">
        <f>IF([1]!DataIris[[#This Row],[Ancho de pétalo]]&lt;=1.4,"ESTRECHO","ANCHO")</f>
        <v>ESTRECHO</v>
      </c>
      <c r="K17" s="92" t="s">
        <v>27</v>
      </c>
    </row>
    <row r="18" spans="2:11">
      <c r="B18" s="92">
        <v>4.9000000000000004</v>
      </c>
      <c r="C18" s="92">
        <v>3.1</v>
      </c>
      <c r="D18" s="92">
        <v>1.5</v>
      </c>
      <c r="E18" s="92">
        <v>0.1</v>
      </c>
      <c r="F18" s="92" t="s">
        <v>25</v>
      </c>
      <c r="G18" s="92" t="str">
        <f>IF([1]!DataIris[[#This Row],[Largo de sépalo]]&lt;=5.5,"CORTO",IF([1]!DataIris[[#This Row],[Largo de sépalo]]&lt;=6.7,"MEDIANO","LARGO"))</f>
        <v>CORTO</v>
      </c>
      <c r="H18" s="92" t="str">
        <f>IF([1]!DataIris[[#This Row],[Ancho de sépalo]]&lt;=3.2,"ESTRECHO","ANCHO")</f>
        <v>ESTRECHO</v>
      </c>
      <c r="I18" s="92" t="str">
        <f>IF([1]!DataIris[[#This Row],[Largo de pétalo]]&lt;=3,"CORTO",IF([1]!DataIris[[#This Row],[Largo de pétalo]]&lt;=5,"MEDIANO","LARGO"))</f>
        <v>CORTO</v>
      </c>
      <c r="J18" s="92" t="str">
        <f>IF([1]!DataIris[[#This Row],[Ancho de pétalo]]&lt;=1.4,"ESTRECHO","ANCHO")</f>
        <v>ESTRECHO</v>
      </c>
      <c r="K18" s="92" t="s">
        <v>27</v>
      </c>
    </row>
    <row r="19" spans="2:11">
      <c r="B19" s="92">
        <v>4.9000000000000004</v>
      </c>
      <c r="C19" s="92">
        <v>3.1</v>
      </c>
      <c r="D19" s="92">
        <v>1.5</v>
      </c>
      <c r="E19" s="92">
        <v>0.1</v>
      </c>
      <c r="F19" s="92" t="s">
        <v>25</v>
      </c>
      <c r="G19" s="92" t="str">
        <f>IF([1]!DataIris[[#This Row],[Largo de sépalo]]&lt;=5.5,"CORTO",IF([1]!DataIris[[#This Row],[Largo de sépalo]]&lt;=6.7,"MEDIANO","LARGO"))</f>
        <v>CORTO</v>
      </c>
      <c r="H19" s="92" t="str">
        <f>IF([1]!DataIris[[#This Row],[Ancho de sépalo]]&lt;=3.2,"ESTRECHO","ANCHO")</f>
        <v>ESTRECHO</v>
      </c>
      <c r="I19" s="92" t="str">
        <f>IF([1]!DataIris[[#This Row],[Largo de pétalo]]&lt;=3,"CORTO",IF([1]!DataIris[[#This Row],[Largo de pétalo]]&lt;=5,"MEDIANO","LARGO"))</f>
        <v>CORTO</v>
      </c>
      <c r="J19" s="92" t="str">
        <f>IF([1]!DataIris[[#This Row],[Ancho de pétalo]]&lt;=1.4,"ESTRECHO","ANCHO")</f>
        <v>ESTRECHO</v>
      </c>
      <c r="K19" s="92" t="s">
        <v>26</v>
      </c>
    </row>
    <row r="20" spans="2:11">
      <c r="B20" s="92">
        <v>4.9000000000000004</v>
      </c>
      <c r="C20" s="92">
        <v>3.1</v>
      </c>
      <c r="D20" s="92">
        <v>1.5</v>
      </c>
      <c r="E20" s="92">
        <v>0.1</v>
      </c>
      <c r="F20" s="92" t="s">
        <v>25</v>
      </c>
      <c r="G20" s="92" t="str">
        <f>IF([1]!DataIris[[#This Row],[Largo de sépalo]]&lt;=5.5,"CORTO",IF([1]!DataIris[[#This Row],[Largo de sépalo]]&lt;=6.7,"MEDIANO","LARGO"))</f>
        <v>CORTO</v>
      </c>
      <c r="H20" s="92" t="str">
        <f>IF([1]!DataIris[[#This Row],[Ancho de sépalo]]&lt;=3.2,"ESTRECHO","ANCHO")</f>
        <v>ESTRECHO</v>
      </c>
      <c r="I20" s="92" t="str">
        <f>IF([1]!DataIris[[#This Row],[Largo de pétalo]]&lt;=3,"CORTO",IF([1]!DataIris[[#This Row],[Largo de pétalo]]&lt;=5,"MEDIANO","LARGO"))</f>
        <v>CORTO</v>
      </c>
      <c r="J20" s="92" t="str">
        <f>IF([1]!DataIris[[#This Row],[Ancho de pétalo]]&lt;=1.4,"ESTRECHO","ANCHO")</f>
        <v>ESTRECHO</v>
      </c>
      <c r="K20" s="92" t="s">
        <v>27</v>
      </c>
    </row>
    <row r="21" spans="2:11">
      <c r="B21" s="92">
        <v>4.9000000000000004</v>
      </c>
      <c r="C21" s="92">
        <v>3</v>
      </c>
      <c r="D21" s="92">
        <v>1.4</v>
      </c>
      <c r="E21" s="92">
        <v>0.2</v>
      </c>
      <c r="F21" s="92" t="s">
        <v>25</v>
      </c>
      <c r="G21" s="92" t="str">
        <f>IF([1]!DataIris[[#This Row],[Largo de sépalo]]&lt;=5.5,"CORTO",IF([1]!DataIris[[#This Row],[Largo de sépalo]]&lt;=6.7,"MEDIANO","LARGO"))</f>
        <v>CORTO</v>
      </c>
      <c r="H21" s="92" t="str">
        <f>IF([1]!DataIris[[#This Row],[Ancho de sépalo]]&lt;=3.2,"ESTRECHO","ANCHO")</f>
        <v>ESTRECHO</v>
      </c>
      <c r="I21" s="92" t="str">
        <f>IF([1]!DataIris[[#This Row],[Largo de pétalo]]&lt;=3,"CORTO",IF([1]!DataIris[[#This Row],[Largo de pétalo]]&lt;=5,"MEDIANO","LARGO"))</f>
        <v>CORTO</v>
      </c>
      <c r="J21" s="92" t="str">
        <f>IF([1]!DataIris[[#This Row],[Ancho de pétalo]]&lt;=1.4,"ESTRECHO","ANCHO")</f>
        <v>ESTRECHO</v>
      </c>
      <c r="K21" s="92" t="s">
        <v>26</v>
      </c>
    </row>
    <row r="22" spans="2:11">
      <c r="B22" s="92">
        <v>4.9000000000000004</v>
      </c>
      <c r="C22" s="92">
        <v>2.4</v>
      </c>
      <c r="D22" s="92">
        <v>3.3</v>
      </c>
      <c r="E22" s="92">
        <v>1</v>
      </c>
      <c r="F22" s="92" t="s">
        <v>26</v>
      </c>
      <c r="G22" s="92" t="str">
        <f>IF([1]!DataIris[[#This Row],[Largo de sépalo]]&lt;=5.5,"CORTO",IF([1]!DataIris[[#This Row],[Largo de sépalo]]&lt;=6.7,"MEDIANO","LARGO"))</f>
        <v>CORTO</v>
      </c>
      <c r="H22" s="92" t="str">
        <f>IF([1]!DataIris[[#This Row],[Ancho de sépalo]]&lt;=3.2,"ESTRECHO","ANCHO")</f>
        <v>ESTRECHO</v>
      </c>
      <c r="I22" s="92" t="str">
        <f>IF([1]!DataIris[[#This Row],[Largo de pétalo]]&lt;=3,"CORTO",IF([1]!DataIris[[#This Row],[Largo de pétalo]]&lt;=5,"MEDIANO","LARGO"))</f>
        <v>MEDIANO</v>
      </c>
      <c r="J22" s="92" t="str">
        <f>IF([1]!DataIris[[#This Row],[Ancho de pétalo]]&lt;=1.4,"ESTRECHO","ANCHO")</f>
        <v>ESTRECHO</v>
      </c>
      <c r="K22" s="92" t="s">
        <v>27</v>
      </c>
    </row>
    <row r="23" spans="2:11">
      <c r="B23" s="92">
        <v>4.9000000000000004</v>
      </c>
      <c r="C23" s="92">
        <v>2.5</v>
      </c>
      <c r="D23" s="92">
        <v>4.5</v>
      </c>
      <c r="E23" s="92">
        <v>1.7</v>
      </c>
      <c r="F23" s="92" t="s">
        <v>27</v>
      </c>
      <c r="G23" s="92" t="str">
        <f>IF([1]!DataIris[[#This Row],[Largo de sépalo]]&lt;=5.5,"CORTO",IF([1]!DataIris[[#This Row],[Largo de sépalo]]&lt;=6.7,"MEDIANO","LARGO"))</f>
        <v>CORTO</v>
      </c>
      <c r="H23" s="92" t="str">
        <f>IF([1]!DataIris[[#This Row],[Ancho de sépalo]]&lt;=3.2,"ESTRECHO","ANCHO")</f>
        <v>ESTRECHO</v>
      </c>
      <c r="I23" s="92" t="str">
        <f>IF([1]!DataIris[[#This Row],[Largo de pétalo]]&lt;=3,"CORTO",IF([1]!DataIris[[#This Row],[Largo de pétalo]]&lt;=5,"MEDIANO","LARGO"))</f>
        <v>MEDIANO</v>
      </c>
      <c r="J23" s="92" t="str">
        <f>IF([1]!DataIris[[#This Row],[Ancho de pétalo]]&lt;=1.4,"ESTRECHO","ANCHO")</f>
        <v>ANCHO</v>
      </c>
      <c r="K23" s="92" t="s">
        <v>27</v>
      </c>
    </row>
    <row r="24" spans="2:11">
      <c r="B24" s="92">
        <v>5</v>
      </c>
      <c r="C24" s="92">
        <v>3.2</v>
      </c>
      <c r="D24" s="92">
        <v>1.2</v>
      </c>
      <c r="E24" s="92">
        <v>0.2</v>
      </c>
      <c r="F24" s="92" t="s">
        <v>25</v>
      </c>
      <c r="G24" s="92" t="str">
        <f>IF([1]!DataIris[[#This Row],[Largo de sépalo]]&lt;=5.5,"CORTO",IF([1]!DataIris[[#This Row],[Largo de sépalo]]&lt;=6.7,"MEDIANO","LARGO"))</f>
        <v>CORTO</v>
      </c>
      <c r="H24" s="92" t="str">
        <f>IF([1]!DataIris[[#This Row],[Ancho de sépalo]]&lt;=3.2,"ESTRECHO","ANCHO")</f>
        <v>ESTRECHO</v>
      </c>
      <c r="I24" s="92" t="str">
        <f>IF([1]!DataIris[[#This Row],[Largo de pétalo]]&lt;=3,"CORTO",IF([1]!DataIris[[#This Row],[Largo de pétalo]]&lt;=5,"MEDIANO","LARGO"))</f>
        <v>CORTO</v>
      </c>
      <c r="J24" s="92" t="str">
        <f>IF([1]!DataIris[[#This Row],[Ancho de pétalo]]&lt;=1.4,"ESTRECHO","ANCHO")</f>
        <v>ESTRECHO</v>
      </c>
      <c r="K24" s="92" t="s">
        <v>25</v>
      </c>
    </row>
    <row r="25" spans="2:11">
      <c r="B25" s="92">
        <v>5</v>
      </c>
      <c r="C25" s="92">
        <v>3.3</v>
      </c>
      <c r="D25" s="92">
        <v>1.4</v>
      </c>
      <c r="E25" s="92">
        <v>0.2</v>
      </c>
      <c r="F25" s="92" t="s">
        <v>25</v>
      </c>
      <c r="G25" s="92" t="str">
        <f>IF([1]!DataIris[[#This Row],[Largo de sépalo]]&lt;=5.5,"CORTO",IF([1]!DataIris[[#This Row],[Largo de sépalo]]&lt;=6.7,"MEDIANO","LARGO"))</f>
        <v>CORTO</v>
      </c>
      <c r="H25" s="92" t="str">
        <f>IF([1]!DataIris[[#This Row],[Ancho de sépalo]]&lt;=3.2,"ESTRECHO","ANCHO")</f>
        <v>ANCHO</v>
      </c>
      <c r="I25" s="92" t="str">
        <f>IF([1]!DataIris[[#This Row],[Largo de pétalo]]&lt;=3,"CORTO",IF([1]!DataIris[[#This Row],[Largo de pétalo]]&lt;=5,"MEDIANO","LARGO"))</f>
        <v>CORTO</v>
      </c>
      <c r="J25" s="92" t="str">
        <f>IF([1]!DataIris[[#This Row],[Ancho de pétalo]]&lt;=1.4,"ESTRECHO","ANCHO")</f>
        <v>ESTRECHO</v>
      </c>
      <c r="K25" s="92" t="s">
        <v>25</v>
      </c>
    </row>
    <row r="26" spans="2:11">
      <c r="B26" s="92">
        <v>5</v>
      </c>
      <c r="C26" s="92">
        <v>3.6</v>
      </c>
      <c r="D26" s="92">
        <v>1.4</v>
      </c>
      <c r="E26" s="92">
        <v>0.2</v>
      </c>
      <c r="F26" s="92" t="s">
        <v>25</v>
      </c>
      <c r="G26" s="92" t="str">
        <f>IF([1]!DataIris[[#This Row],[Largo de sépalo]]&lt;=5.5,"CORTO",IF([1]!DataIris[[#This Row],[Largo de sépalo]]&lt;=6.7,"MEDIANO","LARGO"))</f>
        <v>CORTO</v>
      </c>
      <c r="H26" s="92" t="str">
        <f>IF([1]!DataIris[[#This Row],[Ancho de sépalo]]&lt;=3.2,"ESTRECHO","ANCHO")</f>
        <v>ANCHO</v>
      </c>
      <c r="I26" s="92" t="str">
        <f>IF([1]!DataIris[[#This Row],[Largo de pétalo]]&lt;=3,"CORTO",IF([1]!DataIris[[#This Row],[Largo de pétalo]]&lt;=5,"MEDIANO","LARGO"))</f>
        <v>CORTO</v>
      </c>
      <c r="J26" s="92" t="str">
        <f>IF([1]!DataIris[[#This Row],[Ancho de pétalo]]&lt;=1.4,"ESTRECHO","ANCHO")</f>
        <v>ESTRECHO</v>
      </c>
      <c r="K26" s="92" t="s">
        <v>26</v>
      </c>
    </row>
    <row r="27" spans="2:11">
      <c r="B27" s="92">
        <v>5</v>
      </c>
      <c r="C27" s="92">
        <v>3.4</v>
      </c>
      <c r="D27" s="92">
        <v>1.5</v>
      </c>
      <c r="E27" s="92">
        <v>0.2</v>
      </c>
      <c r="F27" s="92" t="s">
        <v>25</v>
      </c>
      <c r="G27" s="92" t="str">
        <f>IF([1]!DataIris[[#This Row],[Largo de sépalo]]&lt;=5.5,"CORTO",IF([1]!DataIris[[#This Row],[Largo de sépalo]]&lt;=6.7,"MEDIANO","LARGO"))</f>
        <v>CORTO</v>
      </c>
      <c r="H27" s="92" t="str">
        <f>IF([1]!DataIris[[#This Row],[Ancho de sépalo]]&lt;=3.2,"ESTRECHO","ANCHO")</f>
        <v>ANCHO</v>
      </c>
      <c r="I27" s="92" t="str">
        <f>IF([1]!DataIris[[#This Row],[Largo de pétalo]]&lt;=3,"CORTO",IF([1]!DataIris[[#This Row],[Largo de pétalo]]&lt;=5,"MEDIANO","LARGO"))</f>
        <v>CORTO</v>
      </c>
      <c r="J27" s="92" t="str">
        <f>IF([1]!DataIris[[#This Row],[Ancho de pétalo]]&lt;=1.4,"ESTRECHO","ANCHO")</f>
        <v>ESTRECHO</v>
      </c>
      <c r="K27" s="92" t="s">
        <v>26</v>
      </c>
    </row>
    <row r="28" spans="2:11">
      <c r="B28" s="92">
        <v>5</v>
      </c>
      <c r="C28" s="92">
        <v>3</v>
      </c>
      <c r="D28" s="92">
        <v>1.6</v>
      </c>
      <c r="E28" s="92">
        <v>0.2</v>
      </c>
      <c r="F28" s="92" t="s">
        <v>25</v>
      </c>
      <c r="G28" s="92" t="str">
        <f>IF([1]!DataIris[[#This Row],[Largo de sépalo]]&lt;=5.5,"CORTO",IF([1]!DataIris[[#This Row],[Largo de sépalo]]&lt;=6.7,"MEDIANO","LARGO"))</f>
        <v>CORTO</v>
      </c>
      <c r="H28" s="92" t="str">
        <f>IF([1]!DataIris[[#This Row],[Ancho de sépalo]]&lt;=3.2,"ESTRECHO","ANCHO")</f>
        <v>ESTRECHO</v>
      </c>
      <c r="I28" s="92" t="str">
        <f>IF([1]!DataIris[[#This Row],[Largo de pétalo]]&lt;=3,"CORTO",IF([1]!DataIris[[#This Row],[Largo de pétalo]]&lt;=5,"MEDIANO","LARGO"))</f>
        <v>CORTO</v>
      </c>
      <c r="J28" s="92" t="str">
        <f>IF([1]!DataIris[[#This Row],[Ancho de pétalo]]&lt;=1.4,"ESTRECHO","ANCHO")</f>
        <v>ESTRECHO</v>
      </c>
      <c r="K28" s="92" t="s">
        <v>26</v>
      </c>
    </row>
    <row r="29" spans="2:11">
      <c r="B29" s="92">
        <v>5</v>
      </c>
      <c r="C29" s="92">
        <v>3.5</v>
      </c>
      <c r="D29" s="92">
        <v>1.3</v>
      </c>
      <c r="E29" s="92">
        <v>0.3</v>
      </c>
      <c r="F29" s="92" t="s">
        <v>25</v>
      </c>
      <c r="G29" s="92" t="str">
        <f>IF([1]!DataIris[[#This Row],[Largo de sépalo]]&lt;=5.5,"CORTO",IF([1]!DataIris[[#This Row],[Largo de sépalo]]&lt;=6.7,"MEDIANO","LARGO"))</f>
        <v>CORTO</v>
      </c>
      <c r="H29" s="92" t="str">
        <f>IF([1]!DataIris[[#This Row],[Ancho de sépalo]]&lt;=3.2,"ESTRECHO","ANCHO")</f>
        <v>ANCHO</v>
      </c>
      <c r="I29" s="92" t="str">
        <f>IF([1]!DataIris[[#This Row],[Largo de pétalo]]&lt;=3,"CORTO",IF([1]!DataIris[[#This Row],[Largo de pétalo]]&lt;=5,"MEDIANO","LARGO"))</f>
        <v>CORTO</v>
      </c>
      <c r="J29" s="92" t="str">
        <f>IF([1]!DataIris[[#This Row],[Ancho de pétalo]]&lt;=1.4,"ESTRECHO","ANCHO")</f>
        <v>ESTRECHO</v>
      </c>
      <c r="K29" s="92" t="s">
        <v>27</v>
      </c>
    </row>
    <row r="30" spans="2:11">
      <c r="B30" s="92">
        <v>5</v>
      </c>
      <c r="C30" s="92">
        <v>3.4</v>
      </c>
      <c r="D30" s="92">
        <v>1.6</v>
      </c>
      <c r="E30" s="92">
        <v>0.4</v>
      </c>
      <c r="F30" s="92" t="s">
        <v>25</v>
      </c>
      <c r="G30" s="92" t="str">
        <f>IF([1]!DataIris[[#This Row],[Largo de sépalo]]&lt;=5.5,"CORTO",IF([1]!DataIris[[#This Row],[Largo de sépalo]]&lt;=6.7,"MEDIANO","LARGO"))</f>
        <v>CORTO</v>
      </c>
      <c r="H30" s="92" t="str">
        <f>IF([1]!DataIris[[#This Row],[Ancho de sépalo]]&lt;=3.2,"ESTRECHO","ANCHO")</f>
        <v>ANCHO</v>
      </c>
      <c r="I30" s="92" t="str">
        <f>IF([1]!DataIris[[#This Row],[Largo de pétalo]]&lt;=3,"CORTO",IF([1]!DataIris[[#This Row],[Largo de pétalo]]&lt;=5,"MEDIANO","LARGO"))</f>
        <v>CORTO</v>
      </c>
      <c r="J30" s="92" t="str">
        <f>IF([1]!DataIris[[#This Row],[Ancho de pétalo]]&lt;=1.4,"ESTRECHO","ANCHO")</f>
        <v>ESTRECHO</v>
      </c>
      <c r="K30" s="92" t="s">
        <v>26</v>
      </c>
    </row>
    <row r="31" spans="2:11">
      <c r="B31" s="92">
        <v>5</v>
      </c>
      <c r="C31" s="92">
        <v>3.5</v>
      </c>
      <c r="D31" s="92">
        <v>1.6</v>
      </c>
      <c r="E31" s="92">
        <v>0.6</v>
      </c>
      <c r="F31" s="92" t="s">
        <v>25</v>
      </c>
      <c r="G31" s="92" t="str">
        <f>IF([1]!DataIris[[#This Row],[Largo de sépalo]]&lt;=5.5,"CORTO",IF([1]!DataIris[[#This Row],[Largo de sépalo]]&lt;=6.7,"MEDIANO","LARGO"))</f>
        <v>CORTO</v>
      </c>
      <c r="H31" s="92" t="str">
        <f>IF([1]!DataIris[[#This Row],[Ancho de sépalo]]&lt;=3.2,"ESTRECHO","ANCHO")</f>
        <v>ANCHO</v>
      </c>
      <c r="I31" s="92" t="str">
        <f>IF([1]!DataIris[[#This Row],[Largo de pétalo]]&lt;=3,"CORTO",IF([1]!DataIris[[#This Row],[Largo de pétalo]]&lt;=5,"MEDIANO","LARGO"))</f>
        <v>CORTO</v>
      </c>
      <c r="J31" s="92" t="str">
        <f>IF([1]!DataIris[[#This Row],[Ancho de pétalo]]&lt;=1.4,"ESTRECHO","ANCHO")</f>
        <v>ESTRECHO</v>
      </c>
      <c r="K31" s="92" t="s">
        <v>27</v>
      </c>
    </row>
    <row r="32" spans="2:11">
      <c r="B32" s="92">
        <v>5</v>
      </c>
      <c r="C32" s="92">
        <v>2.2999999999999998</v>
      </c>
      <c r="D32" s="92">
        <v>3.3</v>
      </c>
      <c r="E32" s="92">
        <v>1</v>
      </c>
      <c r="F32" s="92" t="s">
        <v>26</v>
      </c>
      <c r="G32" s="92" t="str">
        <f>IF([1]!DataIris[[#This Row],[Largo de sépalo]]&lt;=5.5,"CORTO",IF([1]!DataIris[[#This Row],[Largo de sépalo]]&lt;=6.7,"MEDIANO","LARGO"))</f>
        <v>CORTO</v>
      </c>
      <c r="H32" s="92" t="str">
        <f>IF([1]!DataIris[[#This Row],[Ancho de sépalo]]&lt;=3.2,"ESTRECHO","ANCHO")</f>
        <v>ESTRECHO</v>
      </c>
      <c r="I32" s="92" t="str">
        <f>IF([1]!DataIris[[#This Row],[Largo de pétalo]]&lt;=3,"CORTO",IF([1]!DataIris[[#This Row],[Largo de pétalo]]&lt;=5,"MEDIANO","LARGO"))</f>
        <v>MEDIANO</v>
      </c>
      <c r="J32" s="92" t="str">
        <f>IF([1]!DataIris[[#This Row],[Ancho de pétalo]]&lt;=1.4,"ESTRECHO","ANCHO")</f>
        <v>ESTRECHO</v>
      </c>
      <c r="K32" s="92" t="s">
        <v>27</v>
      </c>
    </row>
    <row r="33" spans="2:11">
      <c r="B33" s="92">
        <v>5</v>
      </c>
      <c r="C33" s="92">
        <v>2</v>
      </c>
      <c r="D33" s="92">
        <v>3.5</v>
      </c>
      <c r="E33" s="92">
        <v>1</v>
      </c>
      <c r="F33" s="92" t="s">
        <v>26</v>
      </c>
      <c r="G33" s="92" t="str">
        <f>IF([1]!DataIris[[#This Row],[Largo de sépalo]]&lt;=5.5,"CORTO",IF([1]!DataIris[[#This Row],[Largo de sépalo]]&lt;=6.7,"MEDIANO","LARGO"))</f>
        <v>CORTO</v>
      </c>
      <c r="H33" s="92" t="str">
        <f>IF([1]!DataIris[[#This Row],[Ancho de sépalo]]&lt;=3.2,"ESTRECHO","ANCHO")</f>
        <v>ESTRECHO</v>
      </c>
      <c r="I33" s="92" t="str">
        <f>IF([1]!DataIris[[#This Row],[Largo de pétalo]]&lt;=3,"CORTO",IF([1]!DataIris[[#This Row],[Largo de pétalo]]&lt;=5,"MEDIANO","LARGO"))</f>
        <v>MEDIANO</v>
      </c>
      <c r="J33" s="92" t="str">
        <f>IF([1]!DataIris[[#This Row],[Ancho de pétalo]]&lt;=1.4,"ESTRECHO","ANCHO")</f>
        <v>ESTRECHO</v>
      </c>
      <c r="K33" s="92" t="s">
        <v>26</v>
      </c>
    </row>
    <row r="34" spans="2:11">
      <c r="B34" s="92">
        <v>5.0999999999999996</v>
      </c>
      <c r="C34" s="92">
        <v>3.5</v>
      </c>
      <c r="D34" s="92">
        <v>1.4</v>
      </c>
      <c r="E34" s="92">
        <v>0.2</v>
      </c>
      <c r="F34" s="92" t="s">
        <v>25</v>
      </c>
      <c r="G34" s="92" t="str">
        <f>IF([1]!DataIris[[#This Row],[Largo de sépalo]]&lt;=5.5,"CORTO",IF([1]!DataIris[[#This Row],[Largo de sépalo]]&lt;=6.7,"MEDIANO","LARGO"))</f>
        <v>CORTO</v>
      </c>
      <c r="H34" s="92" t="str">
        <f>IF([1]!DataIris[[#This Row],[Ancho de sépalo]]&lt;=3.2,"ESTRECHO","ANCHO")</f>
        <v>ANCHO</v>
      </c>
      <c r="I34" s="92" t="str">
        <f>IF([1]!DataIris[[#This Row],[Largo de pétalo]]&lt;=3,"CORTO",IF([1]!DataIris[[#This Row],[Largo de pétalo]]&lt;=5,"MEDIANO","LARGO"))</f>
        <v>CORTO</v>
      </c>
      <c r="J34" s="92" t="str">
        <f>IF([1]!DataIris[[#This Row],[Ancho de pétalo]]&lt;=1.4,"ESTRECHO","ANCHO")</f>
        <v>ESTRECHO</v>
      </c>
      <c r="K34" s="92" t="s">
        <v>27</v>
      </c>
    </row>
    <row r="35" spans="2:11">
      <c r="B35" s="92">
        <v>5.0999999999999996</v>
      </c>
      <c r="C35" s="92">
        <v>3.4</v>
      </c>
      <c r="D35" s="92">
        <v>1.5</v>
      </c>
      <c r="E35" s="92">
        <v>0.2</v>
      </c>
      <c r="F35" s="92" t="s">
        <v>25</v>
      </c>
      <c r="G35" s="92" t="str">
        <f>IF([1]!DataIris[[#This Row],[Largo de sépalo]]&lt;=5.5,"CORTO",IF([1]!DataIris[[#This Row],[Largo de sépalo]]&lt;=6.7,"MEDIANO","LARGO"))</f>
        <v>CORTO</v>
      </c>
      <c r="H35" s="92" t="str">
        <f>IF([1]!DataIris[[#This Row],[Ancho de sépalo]]&lt;=3.2,"ESTRECHO","ANCHO")</f>
        <v>ANCHO</v>
      </c>
      <c r="I35" s="92" t="str">
        <f>IF([1]!DataIris[[#This Row],[Largo de pétalo]]&lt;=3,"CORTO",IF([1]!DataIris[[#This Row],[Largo de pétalo]]&lt;=5,"MEDIANO","LARGO"))</f>
        <v>CORTO</v>
      </c>
      <c r="J35" s="92" t="str">
        <f>IF([1]!DataIris[[#This Row],[Ancho de pétalo]]&lt;=1.4,"ESTRECHO","ANCHO")</f>
        <v>ESTRECHO</v>
      </c>
      <c r="K35" s="92" t="s">
        <v>27</v>
      </c>
    </row>
    <row r="36" spans="2:11">
      <c r="B36" s="92">
        <v>5.0999999999999996</v>
      </c>
      <c r="C36" s="92">
        <v>3.8</v>
      </c>
      <c r="D36" s="92">
        <v>1.6</v>
      </c>
      <c r="E36" s="92">
        <v>0.2</v>
      </c>
      <c r="F36" s="92" t="s">
        <v>25</v>
      </c>
      <c r="G36" s="92" t="str">
        <f>IF([1]!DataIris[[#This Row],[Largo de sépalo]]&lt;=5.5,"CORTO",IF([1]!DataIris[[#This Row],[Largo de sépalo]]&lt;=6.7,"MEDIANO","LARGO"))</f>
        <v>CORTO</v>
      </c>
      <c r="H36" s="92" t="str">
        <f>IF([1]!DataIris[[#This Row],[Ancho de sépalo]]&lt;=3.2,"ESTRECHO","ANCHO")</f>
        <v>ANCHO</v>
      </c>
      <c r="I36" s="92" t="str">
        <f>IF([1]!DataIris[[#This Row],[Largo de pétalo]]&lt;=3,"CORTO",IF([1]!DataIris[[#This Row],[Largo de pétalo]]&lt;=5,"MEDIANO","LARGO"))</f>
        <v>CORTO</v>
      </c>
      <c r="J36" s="92" t="str">
        <f>IF([1]!DataIris[[#This Row],[Ancho de pétalo]]&lt;=1.4,"ESTRECHO","ANCHO")</f>
        <v>ESTRECHO</v>
      </c>
      <c r="K36" s="92" t="s">
        <v>27</v>
      </c>
    </row>
    <row r="37" spans="2:11">
      <c r="B37" s="92">
        <v>5.0999999999999996</v>
      </c>
      <c r="C37" s="92">
        <v>3.5</v>
      </c>
      <c r="D37" s="92">
        <v>1.4</v>
      </c>
      <c r="E37" s="92">
        <v>0.3</v>
      </c>
      <c r="F37" s="92" t="s">
        <v>25</v>
      </c>
      <c r="G37" s="92" t="str">
        <f>IF([1]!DataIris[[#This Row],[Largo de sépalo]]&lt;=5.5,"CORTO",IF([1]!DataIris[[#This Row],[Largo de sépalo]]&lt;=6.7,"MEDIANO","LARGO"))</f>
        <v>CORTO</v>
      </c>
      <c r="H37" s="92" t="str">
        <f>IF([1]!DataIris[[#This Row],[Ancho de sépalo]]&lt;=3.2,"ESTRECHO","ANCHO")</f>
        <v>ANCHO</v>
      </c>
      <c r="I37" s="92" t="str">
        <f>IF([1]!DataIris[[#This Row],[Largo de pétalo]]&lt;=3,"CORTO",IF([1]!DataIris[[#This Row],[Largo de pétalo]]&lt;=5,"MEDIANO","LARGO"))</f>
        <v>CORTO</v>
      </c>
      <c r="J37" s="92" t="str">
        <f>IF([1]!DataIris[[#This Row],[Ancho de pétalo]]&lt;=1.4,"ESTRECHO","ANCHO")</f>
        <v>ESTRECHO</v>
      </c>
      <c r="K37" s="92" t="s">
        <v>27</v>
      </c>
    </row>
    <row r="38" spans="2:11">
      <c r="B38" s="92">
        <v>5.0999999999999996</v>
      </c>
      <c r="C38" s="92">
        <v>3.8</v>
      </c>
      <c r="D38" s="92">
        <v>1.5</v>
      </c>
      <c r="E38" s="92">
        <v>0.3</v>
      </c>
      <c r="F38" s="92" t="s">
        <v>25</v>
      </c>
      <c r="G38" s="92" t="str">
        <f>IF([1]!DataIris[[#This Row],[Largo de sépalo]]&lt;=5.5,"CORTO",IF([1]!DataIris[[#This Row],[Largo de sépalo]]&lt;=6.7,"MEDIANO","LARGO"))</f>
        <v>CORTO</v>
      </c>
      <c r="H38" s="92" t="str">
        <f>IF([1]!DataIris[[#This Row],[Ancho de sépalo]]&lt;=3.2,"ESTRECHO","ANCHO")</f>
        <v>ANCHO</v>
      </c>
      <c r="I38" s="92" t="str">
        <f>IF([1]!DataIris[[#This Row],[Largo de pétalo]]&lt;=3,"CORTO",IF([1]!DataIris[[#This Row],[Largo de pétalo]]&lt;=5,"MEDIANO","LARGO"))</f>
        <v>CORTO</v>
      </c>
      <c r="J38" s="92" t="str">
        <f>IF([1]!DataIris[[#This Row],[Ancho de pétalo]]&lt;=1.4,"ESTRECHO","ANCHO")</f>
        <v>ESTRECHO</v>
      </c>
      <c r="K38" s="92" t="s">
        <v>27</v>
      </c>
    </row>
    <row r="39" spans="2:11">
      <c r="B39" s="92">
        <v>5.0999999999999996</v>
      </c>
      <c r="C39" s="92">
        <v>3.7</v>
      </c>
      <c r="D39" s="92">
        <v>1.5</v>
      </c>
      <c r="E39" s="92">
        <v>0.4</v>
      </c>
      <c r="F39" s="92" t="s">
        <v>25</v>
      </c>
      <c r="G39" s="92" t="str">
        <f>IF([1]!DataIris[[#This Row],[Largo de sépalo]]&lt;=5.5,"CORTO",IF([1]!DataIris[[#This Row],[Largo de sépalo]]&lt;=6.7,"MEDIANO","LARGO"))</f>
        <v>CORTO</v>
      </c>
      <c r="H39" s="92" t="str">
        <f>IF([1]!DataIris[[#This Row],[Ancho de sépalo]]&lt;=3.2,"ESTRECHO","ANCHO")</f>
        <v>ANCHO</v>
      </c>
      <c r="I39" s="92" t="str">
        <f>IF([1]!DataIris[[#This Row],[Largo de pétalo]]&lt;=3,"CORTO",IF([1]!DataIris[[#This Row],[Largo de pétalo]]&lt;=5,"MEDIANO","LARGO"))</f>
        <v>CORTO</v>
      </c>
      <c r="J39" s="92" t="str">
        <f>IF([1]!DataIris[[#This Row],[Ancho de pétalo]]&lt;=1.4,"ESTRECHO","ANCHO")</f>
        <v>ESTRECHO</v>
      </c>
      <c r="K39" s="92" t="s">
        <v>27</v>
      </c>
    </row>
    <row r="40" spans="2:11">
      <c r="B40" s="92">
        <v>5.0999999999999996</v>
      </c>
      <c r="C40" s="92">
        <v>3.8</v>
      </c>
      <c r="D40" s="92">
        <v>1.9</v>
      </c>
      <c r="E40" s="92">
        <v>0.4</v>
      </c>
      <c r="F40" s="92" t="s">
        <v>25</v>
      </c>
      <c r="G40" s="92" t="str">
        <f>IF([1]!DataIris[[#This Row],[Largo de sépalo]]&lt;=5.5,"CORTO",IF([1]!DataIris[[#This Row],[Largo de sépalo]]&lt;=6.7,"MEDIANO","LARGO"))</f>
        <v>CORTO</v>
      </c>
      <c r="H40" s="92" t="str">
        <f>IF([1]!DataIris[[#This Row],[Ancho de sépalo]]&lt;=3.2,"ESTRECHO","ANCHO")</f>
        <v>ANCHO</v>
      </c>
      <c r="I40" s="92" t="str">
        <f>IF([1]!DataIris[[#This Row],[Largo de pétalo]]&lt;=3,"CORTO",IF([1]!DataIris[[#This Row],[Largo de pétalo]]&lt;=5,"MEDIANO","LARGO"))</f>
        <v>CORTO</v>
      </c>
      <c r="J40" s="92" t="str">
        <f>IF([1]!DataIris[[#This Row],[Ancho de pétalo]]&lt;=1.4,"ESTRECHO","ANCHO")</f>
        <v>ESTRECHO</v>
      </c>
      <c r="K40" s="92" t="s">
        <v>27</v>
      </c>
    </row>
    <row r="41" spans="2:11">
      <c r="B41" s="92">
        <v>5.0999999999999996</v>
      </c>
      <c r="C41" s="92">
        <v>3.3</v>
      </c>
      <c r="D41" s="92">
        <v>1.7</v>
      </c>
      <c r="E41" s="92">
        <v>0.5</v>
      </c>
      <c r="F41" s="92" t="s">
        <v>25</v>
      </c>
      <c r="G41" s="92" t="str">
        <f>IF([1]!DataIris[[#This Row],[Largo de sépalo]]&lt;=5.5,"CORTO",IF([1]!DataIris[[#This Row],[Largo de sépalo]]&lt;=6.7,"MEDIANO","LARGO"))</f>
        <v>CORTO</v>
      </c>
      <c r="H41" s="92" t="str">
        <f>IF([1]!DataIris[[#This Row],[Ancho de sépalo]]&lt;=3.2,"ESTRECHO","ANCHO")</f>
        <v>ANCHO</v>
      </c>
      <c r="I41" s="92" t="str">
        <f>IF([1]!DataIris[[#This Row],[Largo de pétalo]]&lt;=3,"CORTO",IF([1]!DataIris[[#This Row],[Largo de pétalo]]&lt;=5,"MEDIANO","LARGO"))</f>
        <v>CORTO</v>
      </c>
      <c r="J41" s="92" t="str">
        <f>IF([1]!DataIris[[#This Row],[Ancho de pétalo]]&lt;=1.4,"ESTRECHO","ANCHO")</f>
        <v>ESTRECHO</v>
      </c>
      <c r="K41" s="92" t="s">
        <v>27</v>
      </c>
    </row>
    <row r="42" spans="2:11">
      <c r="B42" s="92">
        <v>5.0999999999999996</v>
      </c>
      <c r="C42" s="92">
        <v>2.5</v>
      </c>
      <c r="D42" s="92">
        <v>3</v>
      </c>
      <c r="E42" s="92">
        <v>1.1000000000000001</v>
      </c>
      <c r="F42" s="92" t="s">
        <v>26</v>
      </c>
      <c r="G42" s="92" t="str">
        <f>IF([1]!DataIris[[#This Row],[Largo de sépalo]]&lt;=5.5,"CORTO",IF([1]!DataIris[[#This Row],[Largo de sépalo]]&lt;=6.7,"MEDIANO","LARGO"))</f>
        <v>CORTO</v>
      </c>
      <c r="H42" s="92" t="str">
        <f>IF([1]!DataIris[[#This Row],[Ancho de sépalo]]&lt;=3.2,"ESTRECHO","ANCHO")</f>
        <v>ESTRECHO</v>
      </c>
      <c r="I42" s="92" t="str">
        <f>IF([1]!DataIris[[#This Row],[Largo de pétalo]]&lt;=3,"CORTO",IF([1]!DataIris[[#This Row],[Largo de pétalo]]&lt;=5,"MEDIANO","LARGO"))</f>
        <v>CORTO</v>
      </c>
      <c r="J42" s="92" t="str">
        <f>IF([1]!DataIris[[#This Row],[Ancho de pétalo]]&lt;=1.4,"ESTRECHO","ANCHO")</f>
        <v>ESTRECHO</v>
      </c>
      <c r="K42" s="92" t="s">
        <v>25</v>
      </c>
    </row>
    <row r="43" spans="2:11">
      <c r="B43" s="92">
        <v>5.2</v>
      </c>
      <c r="C43" s="92">
        <v>4.0999999999999996</v>
      </c>
      <c r="D43" s="92">
        <v>1.5</v>
      </c>
      <c r="E43" s="92">
        <v>0.1</v>
      </c>
      <c r="F43" s="92" t="s">
        <v>25</v>
      </c>
      <c r="G43" s="92" t="str">
        <f>IF([1]!DataIris[[#This Row],[Largo de sépalo]]&lt;=5.5,"CORTO",IF([1]!DataIris[[#This Row],[Largo de sépalo]]&lt;=6.7,"MEDIANO","LARGO"))</f>
        <v>CORTO</v>
      </c>
      <c r="H43" s="92" t="str">
        <f>IF([1]!DataIris[[#This Row],[Ancho de sépalo]]&lt;=3.2,"ESTRECHO","ANCHO")</f>
        <v>ANCHO</v>
      </c>
      <c r="I43" s="92" t="str">
        <f>IF([1]!DataIris[[#This Row],[Largo de pétalo]]&lt;=3,"CORTO",IF([1]!DataIris[[#This Row],[Largo de pétalo]]&lt;=5,"MEDIANO","LARGO"))</f>
        <v>CORTO</v>
      </c>
      <c r="J43" s="92" t="str">
        <f>IF([1]!DataIris[[#This Row],[Ancho de pétalo]]&lt;=1.4,"ESTRECHO","ANCHO")</f>
        <v>ESTRECHO</v>
      </c>
      <c r="K43" s="92" t="s">
        <v>25</v>
      </c>
    </row>
    <row r="44" spans="2:11">
      <c r="B44" s="92">
        <v>5.2</v>
      </c>
      <c r="C44" s="92">
        <v>3.4</v>
      </c>
      <c r="D44" s="92">
        <v>1.4</v>
      </c>
      <c r="E44" s="92">
        <v>0.2</v>
      </c>
      <c r="F44" s="92" t="s">
        <v>25</v>
      </c>
      <c r="G44" s="92" t="str">
        <f>IF([1]!DataIris[[#This Row],[Largo de sépalo]]&lt;=5.5,"CORTO",IF([1]!DataIris[[#This Row],[Largo de sépalo]]&lt;=6.7,"MEDIANO","LARGO"))</f>
        <v>CORTO</v>
      </c>
      <c r="H44" s="92" t="str">
        <f>IF([1]!DataIris[[#This Row],[Ancho de sépalo]]&lt;=3.2,"ESTRECHO","ANCHO")</f>
        <v>ANCHO</v>
      </c>
      <c r="I44" s="92" t="str">
        <f>IF([1]!DataIris[[#This Row],[Largo de pétalo]]&lt;=3,"CORTO",IF([1]!DataIris[[#This Row],[Largo de pétalo]]&lt;=5,"MEDIANO","LARGO"))</f>
        <v>CORTO</v>
      </c>
      <c r="J44" s="92" t="str">
        <f>IF([1]!DataIris[[#This Row],[Ancho de pétalo]]&lt;=1.4,"ESTRECHO","ANCHO")</f>
        <v>ESTRECHO</v>
      </c>
      <c r="K44" s="92" t="s">
        <v>26</v>
      </c>
    </row>
    <row r="45" spans="2:11">
      <c r="B45" s="92">
        <v>5.2</v>
      </c>
      <c r="C45" s="92">
        <v>3.5</v>
      </c>
      <c r="D45" s="92">
        <v>1.5</v>
      </c>
      <c r="E45" s="92">
        <v>0.2</v>
      </c>
      <c r="F45" s="92" t="s">
        <v>25</v>
      </c>
      <c r="G45" s="92" t="str">
        <f>IF([1]!DataIris[[#This Row],[Largo de sépalo]]&lt;=5.5,"CORTO",IF([1]!DataIris[[#This Row],[Largo de sépalo]]&lt;=6.7,"MEDIANO","LARGO"))</f>
        <v>CORTO</v>
      </c>
      <c r="H45" s="92" t="str">
        <f>IF([1]!DataIris[[#This Row],[Ancho de sépalo]]&lt;=3.2,"ESTRECHO","ANCHO")</f>
        <v>ANCHO</v>
      </c>
      <c r="I45" s="92" t="str">
        <f>IF([1]!DataIris[[#This Row],[Largo de pétalo]]&lt;=3,"CORTO",IF([1]!DataIris[[#This Row],[Largo de pétalo]]&lt;=5,"MEDIANO","LARGO"))</f>
        <v>CORTO</v>
      </c>
      <c r="J45" s="92" t="str">
        <f>IF([1]!DataIris[[#This Row],[Ancho de pétalo]]&lt;=1.4,"ESTRECHO","ANCHO")</f>
        <v>ESTRECHO</v>
      </c>
      <c r="K45" s="92" t="s">
        <v>26</v>
      </c>
    </row>
    <row r="46" spans="2:11">
      <c r="B46" s="92">
        <v>5.2</v>
      </c>
      <c r="C46" s="92">
        <v>2.7</v>
      </c>
      <c r="D46" s="92">
        <v>3.9</v>
      </c>
      <c r="E46" s="92">
        <v>1.4</v>
      </c>
      <c r="F46" s="92" t="s">
        <v>26</v>
      </c>
      <c r="G46" s="92" t="str">
        <f>IF([1]!DataIris[[#This Row],[Largo de sépalo]]&lt;=5.5,"CORTO",IF([1]!DataIris[[#This Row],[Largo de sépalo]]&lt;=6.7,"MEDIANO","LARGO"))</f>
        <v>CORTO</v>
      </c>
      <c r="H46" s="92" t="str">
        <f>IF([1]!DataIris[[#This Row],[Ancho de sépalo]]&lt;=3.2,"ESTRECHO","ANCHO")</f>
        <v>ESTRECHO</v>
      </c>
      <c r="I46" s="92" t="str">
        <f>IF([1]!DataIris[[#This Row],[Largo de pétalo]]&lt;=3,"CORTO",IF([1]!DataIris[[#This Row],[Largo de pétalo]]&lt;=5,"MEDIANO","LARGO"))</f>
        <v>MEDIANO</v>
      </c>
      <c r="J46" s="92" t="str">
        <f>IF([1]!DataIris[[#This Row],[Ancho de pétalo]]&lt;=1.4,"ESTRECHO","ANCHO")</f>
        <v>ESTRECHO</v>
      </c>
      <c r="K46" s="92" t="s">
        <v>26</v>
      </c>
    </row>
    <row r="47" spans="2:11">
      <c r="B47" s="92">
        <v>5.3</v>
      </c>
      <c r="C47" s="92">
        <v>3.7</v>
      </c>
      <c r="D47" s="92">
        <v>1.5</v>
      </c>
      <c r="E47" s="92">
        <v>0.2</v>
      </c>
      <c r="F47" s="92" t="s">
        <v>25</v>
      </c>
      <c r="G47" s="92" t="str">
        <f>IF([1]!DataIris[[#This Row],[Largo de sépalo]]&lt;=5.5,"CORTO",IF([1]!DataIris[[#This Row],[Largo de sépalo]]&lt;=6.7,"MEDIANO","LARGO"))</f>
        <v>CORTO</v>
      </c>
      <c r="H47" s="92" t="str">
        <f>IF([1]!DataIris[[#This Row],[Ancho de sépalo]]&lt;=3.2,"ESTRECHO","ANCHO")</f>
        <v>ANCHO</v>
      </c>
      <c r="I47" s="92" t="str">
        <f>IF([1]!DataIris[[#This Row],[Largo de pétalo]]&lt;=3,"CORTO",IF([1]!DataIris[[#This Row],[Largo de pétalo]]&lt;=5,"MEDIANO","LARGO"))</f>
        <v>CORTO</v>
      </c>
      <c r="J47" s="92" t="str">
        <f>IF([1]!DataIris[[#This Row],[Ancho de pétalo]]&lt;=1.4,"ESTRECHO","ANCHO")</f>
        <v>ESTRECHO</v>
      </c>
      <c r="K47" s="92" t="s">
        <v>27</v>
      </c>
    </row>
    <row r="48" spans="2:11">
      <c r="B48" s="92">
        <v>5.4</v>
      </c>
      <c r="C48" s="92">
        <v>3.7</v>
      </c>
      <c r="D48" s="92">
        <v>1.5</v>
      </c>
      <c r="E48" s="92">
        <v>0.2</v>
      </c>
      <c r="F48" s="92" t="s">
        <v>25</v>
      </c>
      <c r="G48" s="92" t="str">
        <f>IF([1]!DataIris[[#This Row],[Largo de sépalo]]&lt;=5.5,"CORTO",IF([1]!DataIris[[#This Row],[Largo de sépalo]]&lt;=6.7,"MEDIANO","LARGO"))</f>
        <v>CORTO</v>
      </c>
      <c r="H48" s="92" t="str">
        <f>IF([1]!DataIris[[#This Row],[Ancho de sépalo]]&lt;=3.2,"ESTRECHO","ANCHO")</f>
        <v>ANCHO</v>
      </c>
      <c r="I48" s="92" t="str">
        <f>IF([1]!DataIris[[#This Row],[Largo de pétalo]]&lt;=3,"CORTO",IF([1]!DataIris[[#This Row],[Largo de pétalo]]&lt;=5,"MEDIANO","LARGO"))</f>
        <v>CORTO</v>
      </c>
      <c r="J48" s="92" t="str">
        <f>IF([1]!DataIris[[#This Row],[Ancho de pétalo]]&lt;=1.4,"ESTRECHO","ANCHO")</f>
        <v>ESTRECHO</v>
      </c>
      <c r="K48" s="92" t="s">
        <v>25</v>
      </c>
    </row>
    <row r="49" spans="2:11">
      <c r="B49" s="92">
        <v>5.4</v>
      </c>
      <c r="C49" s="92">
        <v>3.4</v>
      </c>
      <c r="D49" s="92">
        <v>1.7</v>
      </c>
      <c r="E49" s="92">
        <v>0.2</v>
      </c>
      <c r="F49" s="92" t="s">
        <v>25</v>
      </c>
      <c r="G49" s="92" t="str">
        <f>IF([1]!DataIris[[#This Row],[Largo de sépalo]]&lt;=5.5,"CORTO",IF([1]!DataIris[[#This Row],[Largo de sépalo]]&lt;=6.7,"MEDIANO","LARGO"))</f>
        <v>CORTO</v>
      </c>
      <c r="H49" s="92" t="str">
        <f>IF([1]!DataIris[[#This Row],[Ancho de sépalo]]&lt;=3.2,"ESTRECHO","ANCHO")</f>
        <v>ANCHO</v>
      </c>
      <c r="I49" s="92" t="str">
        <f>IF([1]!DataIris[[#This Row],[Largo de pétalo]]&lt;=3,"CORTO",IF([1]!DataIris[[#This Row],[Largo de pétalo]]&lt;=5,"MEDIANO","LARGO"))</f>
        <v>CORTO</v>
      </c>
      <c r="J49" s="92" t="str">
        <f>IF([1]!DataIris[[#This Row],[Ancho de pétalo]]&lt;=1.4,"ESTRECHO","ANCHO")</f>
        <v>ESTRECHO</v>
      </c>
      <c r="K49" s="92" t="s">
        <v>25</v>
      </c>
    </row>
    <row r="50" spans="2:11">
      <c r="B50" s="92">
        <v>5.4</v>
      </c>
      <c r="C50" s="92">
        <v>3.9</v>
      </c>
      <c r="D50" s="92">
        <v>1.3</v>
      </c>
      <c r="E50" s="92">
        <v>0.4</v>
      </c>
      <c r="F50" s="92" t="s">
        <v>25</v>
      </c>
      <c r="G50" s="92" t="str">
        <f>IF([1]!DataIris[[#This Row],[Largo de sépalo]]&lt;=5.5,"CORTO",IF([1]!DataIris[[#This Row],[Largo de sépalo]]&lt;=6.7,"MEDIANO","LARGO"))</f>
        <v>CORTO</v>
      </c>
      <c r="H50" s="92" t="str">
        <f>IF([1]!DataIris[[#This Row],[Ancho de sépalo]]&lt;=3.2,"ESTRECHO","ANCHO")</f>
        <v>ANCHO</v>
      </c>
      <c r="I50" s="92" t="str">
        <f>IF([1]!DataIris[[#This Row],[Largo de pétalo]]&lt;=3,"CORTO",IF([1]!DataIris[[#This Row],[Largo de pétalo]]&lt;=5,"MEDIANO","LARGO"))</f>
        <v>CORTO</v>
      </c>
      <c r="J50" s="92" t="str">
        <f>IF([1]!DataIris[[#This Row],[Ancho de pétalo]]&lt;=1.4,"ESTRECHO","ANCHO")</f>
        <v>ESTRECHO</v>
      </c>
      <c r="K50" s="92" t="s">
        <v>26</v>
      </c>
    </row>
    <row r="51" spans="2:11">
      <c r="B51" s="92">
        <v>5.4</v>
      </c>
      <c r="C51" s="92">
        <v>3.4</v>
      </c>
      <c r="D51" s="92">
        <v>1.5</v>
      </c>
      <c r="E51" s="92">
        <v>0.4</v>
      </c>
      <c r="F51" s="92" t="s">
        <v>25</v>
      </c>
      <c r="G51" s="92" t="str">
        <f>IF([1]!DataIris[[#This Row],[Largo de sépalo]]&lt;=5.5,"CORTO",IF([1]!DataIris[[#This Row],[Largo de sépalo]]&lt;=6.7,"MEDIANO","LARGO"))</f>
        <v>CORTO</v>
      </c>
      <c r="H51" s="92" t="str">
        <f>IF([1]!DataIris[[#This Row],[Ancho de sépalo]]&lt;=3.2,"ESTRECHO","ANCHO")</f>
        <v>ANCHO</v>
      </c>
      <c r="I51" s="92" t="str">
        <f>IF([1]!DataIris[[#This Row],[Largo de pétalo]]&lt;=3,"CORTO",IF([1]!DataIris[[#This Row],[Largo de pétalo]]&lt;=5,"MEDIANO","LARGO"))</f>
        <v>CORTO</v>
      </c>
      <c r="J51" s="92" t="str">
        <f>IF([1]!DataIris[[#This Row],[Ancho de pétalo]]&lt;=1.4,"ESTRECHO","ANCHO")</f>
        <v>ESTRECHO</v>
      </c>
      <c r="K51" s="92" t="s">
        <v>26</v>
      </c>
    </row>
    <row r="52" spans="2:11">
      <c r="B52" s="92">
        <v>5.4</v>
      </c>
      <c r="C52" s="92">
        <v>3.9</v>
      </c>
      <c r="D52" s="92">
        <v>1.7</v>
      </c>
      <c r="E52" s="92">
        <v>0.4</v>
      </c>
      <c r="F52" s="92" t="s">
        <v>25</v>
      </c>
      <c r="G52" s="92" t="str">
        <f>IF([1]!DataIris[[#This Row],[Largo de sépalo]]&lt;=5.5,"CORTO",IF([1]!DataIris[[#This Row],[Largo de sépalo]]&lt;=6.7,"MEDIANO","LARGO"))</f>
        <v>CORTO</v>
      </c>
      <c r="H52" s="92" t="str">
        <f>IF([1]!DataIris[[#This Row],[Ancho de sépalo]]&lt;=3.2,"ESTRECHO","ANCHO")</f>
        <v>ANCHO</v>
      </c>
      <c r="I52" s="92" t="str">
        <f>IF([1]!DataIris[[#This Row],[Largo de pétalo]]&lt;=3,"CORTO",IF([1]!DataIris[[#This Row],[Largo de pétalo]]&lt;=5,"MEDIANO","LARGO"))</f>
        <v>CORTO</v>
      </c>
      <c r="J52" s="92" t="str">
        <f>IF([1]!DataIris[[#This Row],[Ancho de pétalo]]&lt;=1.4,"ESTRECHO","ANCHO")</f>
        <v>ESTRECHO</v>
      </c>
      <c r="K52" s="92" t="s">
        <v>26</v>
      </c>
    </row>
    <row r="53" spans="2:11">
      <c r="B53" s="92">
        <v>5.4</v>
      </c>
      <c r="C53" s="92">
        <v>3</v>
      </c>
      <c r="D53" s="92">
        <v>4.5</v>
      </c>
      <c r="E53" s="92">
        <v>1.5</v>
      </c>
      <c r="F53" s="92" t="s">
        <v>26</v>
      </c>
      <c r="G53" s="92" t="str">
        <f>IF([1]!DataIris[[#This Row],[Largo de sépalo]]&lt;=5.5,"CORTO",IF([1]!DataIris[[#This Row],[Largo de sépalo]]&lt;=6.7,"MEDIANO","LARGO"))</f>
        <v>CORTO</v>
      </c>
      <c r="H53" s="92" t="str">
        <f>IF([1]!DataIris[[#This Row],[Ancho de sépalo]]&lt;=3.2,"ESTRECHO","ANCHO")</f>
        <v>ESTRECHO</v>
      </c>
      <c r="I53" s="92" t="str">
        <f>IF([1]!DataIris[[#This Row],[Largo de pétalo]]&lt;=3,"CORTO",IF([1]!DataIris[[#This Row],[Largo de pétalo]]&lt;=5,"MEDIANO","LARGO"))</f>
        <v>MEDIANO</v>
      </c>
      <c r="J53" s="92" t="str">
        <f>IF([1]!DataIris[[#This Row],[Ancho de pétalo]]&lt;=1.4,"ESTRECHO","ANCHO")</f>
        <v>ANCHO</v>
      </c>
      <c r="K53" s="92" t="s">
        <v>26</v>
      </c>
    </row>
    <row r="54" spans="2:11">
      <c r="B54" s="92">
        <v>5.5</v>
      </c>
      <c r="C54" s="92">
        <v>3.5</v>
      </c>
      <c r="D54" s="92">
        <v>1.3</v>
      </c>
      <c r="E54" s="92">
        <v>0.2</v>
      </c>
      <c r="F54" s="92" t="s">
        <v>25</v>
      </c>
      <c r="G54" s="92" t="str">
        <f>IF([1]!DataIris[[#This Row],[Largo de sépalo]]&lt;=5.5,"CORTO",IF([1]!DataIris[[#This Row],[Largo de sépalo]]&lt;=6.7,"MEDIANO","LARGO"))</f>
        <v>CORTO</v>
      </c>
      <c r="H54" s="92" t="str">
        <f>IF([1]!DataIris[[#This Row],[Ancho de sépalo]]&lt;=3.2,"ESTRECHO","ANCHO")</f>
        <v>ANCHO</v>
      </c>
      <c r="I54" s="92" t="str">
        <f>IF([1]!DataIris[[#This Row],[Largo de pétalo]]&lt;=3,"CORTO",IF([1]!DataIris[[#This Row],[Largo de pétalo]]&lt;=5,"MEDIANO","LARGO"))</f>
        <v>CORTO</v>
      </c>
      <c r="J54" s="92" t="str">
        <f>IF([1]!DataIris[[#This Row],[Ancho de pétalo]]&lt;=1.4,"ESTRECHO","ANCHO")</f>
        <v>ESTRECHO</v>
      </c>
      <c r="K54" s="92" t="s">
        <v>26</v>
      </c>
    </row>
    <row r="55" spans="2:11">
      <c r="B55" s="92">
        <v>5.5</v>
      </c>
      <c r="C55" s="92">
        <v>4.2</v>
      </c>
      <c r="D55" s="92">
        <v>1.4</v>
      </c>
      <c r="E55" s="92">
        <v>0.2</v>
      </c>
      <c r="F55" s="92" t="s">
        <v>25</v>
      </c>
      <c r="G55" s="92" t="str">
        <f>IF([1]!DataIris[[#This Row],[Largo de sépalo]]&lt;=5.5,"CORTO",IF([1]!DataIris[[#This Row],[Largo de sépalo]]&lt;=6.7,"MEDIANO","LARGO"))</f>
        <v>CORTO</v>
      </c>
      <c r="H55" s="92" t="str">
        <f>IF([1]!DataIris[[#This Row],[Ancho de sépalo]]&lt;=3.2,"ESTRECHO","ANCHO")</f>
        <v>ANCHO</v>
      </c>
      <c r="I55" s="92" t="str">
        <f>IF([1]!DataIris[[#This Row],[Largo de pétalo]]&lt;=3,"CORTO",IF([1]!DataIris[[#This Row],[Largo de pétalo]]&lt;=5,"MEDIANO","LARGO"))</f>
        <v>CORTO</v>
      </c>
      <c r="J55" s="92" t="str">
        <f>IF([1]!DataIris[[#This Row],[Ancho de pétalo]]&lt;=1.4,"ESTRECHO","ANCHO")</f>
        <v>ESTRECHO</v>
      </c>
      <c r="K55" s="92" t="s">
        <v>26</v>
      </c>
    </row>
    <row r="56" spans="2:11">
      <c r="B56" s="92">
        <v>5.5</v>
      </c>
      <c r="C56" s="92">
        <v>2.4</v>
      </c>
      <c r="D56" s="92">
        <v>3.7</v>
      </c>
      <c r="E56" s="92">
        <v>1</v>
      </c>
      <c r="F56" s="92" t="s">
        <v>26</v>
      </c>
      <c r="G56" s="92" t="str">
        <f>IF([1]!DataIris[[#This Row],[Largo de sépalo]]&lt;=5.5,"CORTO",IF([1]!DataIris[[#This Row],[Largo de sépalo]]&lt;=6.7,"MEDIANO","LARGO"))</f>
        <v>CORTO</v>
      </c>
      <c r="H56" s="92" t="str">
        <f>IF([1]!DataIris[[#This Row],[Ancho de sépalo]]&lt;=3.2,"ESTRECHO","ANCHO")</f>
        <v>ESTRECHO</v>
      </c>
      <c r="I56" s="92" t="str">
        <f>IF([1]!DataIris[[#This Row],[Largo de pétalo]]&lt;=3,"CORTO",IF([1]!DataIris[[#This Row],[Largo de pétalo]]&lt;=5,"MEDIANO","LARGO"))</f>
        <v>MEDIANO</v>
      </c>
      <c r="J56" s="92" t="str">
        <f>IF([1]!DataIris[[#This Row],[Ancho de pétalo]]&lt;=1.4,"ESTRECHO","ANCHO")</f>
        <v>ESTRECHO</v>
      </c>
      <c r="K56" s="92" t="s">
        <v>27</v>
      </c>
    </row>
    <row r="57" spans="2:11">
      <c r="B57" s="92">
        <v>5.5</v>
      </c>
      <c r="C57" s="92">
        <v>2.4</v>
      </c>
      <c r="D57" s="92">
        <v>3.8</v>
      </c>
      <c r="E57" s="92">
        <v>1.1000000000000001</v>
      </c>
      <c r="F57" s="92" t="s">
        <v>26</v>
      </c>
      <c r="G57" s="92" t="str">
        <f>IF([1]!DataIris[[#This Row],[Largo de sépalo]]&lt;=5.5,"CORTO",IF([1]!DataIris[[#This Row],[Largo de sépalo]]&lt;=6.7,"MEDIANO","LARGO"))</f>
        <v>CORTO</v>
      </c>
      <c r="H57" s="92" t="str">
        <f>IF([1]!DataIris[[#This Row],[Ancho de sépalo]]&lt;=3.2,"ESTRECHO","ANCHO")</f>
        <v>ESTRECHO</v>
      </c>
      <c r="I57" s="92" t="str">
        <f>IF([1]!DataIris[[#This Row],[Largo de pétalo]]&lt;=3,"CORTO",IF([1]!DataIris[[#This Row],[Largo de pétalo]]&lt;=5,"MEDIANO","LARGO"))</f>
        <v>MEDIANO</v>
      </c>
      <c r="J57" s="92" t="str">
        <f>IF([1]!DataIris[[#This Row],[Ancho de pétalo]]&lt;=1.4,"ESTRECHO","ANCHO")</f>
        <v>ESTRECHO</v>
      </c>
      <c r="K57" s="92" t="s">
        <v>27</v>
      </c>
    </row>
    <row r="58" spans="2:11">
      <c r="B58" s="92">
        <v>5.5</v>
      </c>
      <c r="C58" s="92">
        <v>2.6</v>
      </c>
      <c r="D58" s="92">
        <v>4.4000000000000004</v>
      </c>
      <c r="E58" s="92">
        <v>1.2</v>
      </c>
      <c r="F58" s="92" t="s">
        <v>26</v>
      </c>
      <c r="G58" s="92" t="str">
        <f>IF([1]!DataIris[[#This Row],[Largo de sépalo]]&lt;=5.5,"CORTO",IF([1]!DataIris[[#This Row],[Largo de sépalo]]&lt;=6.7,"MEDIANO","LARGO"))</f>
        <v>CORTO</v>
      </c>
      <c r="H58" s="92" t="str">
        <f>IF([1]!DataIris[[#This Row],[Ancho de sépalo]]&lt;=3.2,"ESTRECHO","ANCHO")</f>
        <v>ESTRECHO</v>
      </c>
      <c r="I58" s="92" t="str">
        <f>IF([1]!DataIris[[#This Row],[Largo de pétalo]]&lt;=3,"CORTO",IF([1]!DataIris[[#This Row],[Largo de pétalo]]&lt;=5,"MEDIANO","LARGO"))</f>
        <v>MEDIANO</v>
      </c>
      <c r="J58" s="92" t="str">
        <f>IF([1]!DataIris[[#This Row],[Ancho de pétalo]]&lt;=1.4,"ESTRECHO","ANCHO")</f>
        <v>ESTRECHO</v>
      </c>
      <c r="K58" s="92" t="s">
        <v>27</v>
      </c>
    </row>
    <row r="59" spans="2:11">
      <c r="B59" s="92">
        <v>5.5</v>
      </c>
      <c r="C59" s="92">
        <v>2.2999999999999998</v>
      </c>
      <c r="D59" s="92">
        <v>4</v>
      </c>
      <c r="E59" s="92">
        <v>1.3</v>
      </c>
      <c r="F59" s="92" t="s">
        <v>26</v>
      </c>
      <c r="G59" s="92" t="str">
        <f>IF([1]!DataIris[[#This Row],[Largo de sépalo]]&lt;=5.5,"CORTO",IF([1]!DataIris[[#This Row],[Largo de sépalo]]&lt;=6.7,"MEDIANO","LARGO"))</f>
        <v>CORTO</v>
      </c>
      <c r="H59" s="92" t="str">
        <f>IF([1]!DataIris[[#This Row],[Ancho de sépalo]]&lt;=3.2,"ESTRECHO","ANCHO")</f>
        <v>ESTRECHO</v>
      </c>
      <c r="I59" s="92" t="str">
        <f>IF([1]!DataIris[[#This Row],[Largo de pétalo]]&lt;=3,"CORTO",IF([1]!DataIris[[#This Row],[Largo de pétalo]]&lt;=5,"MEDIANO","LARGO"))</f>
        <v>MEDIANO</v>
      </c>
      <c r="J59" s="92" t="str">
        <f>IF([1]!DataIris[[#This Row],[Ancho de pétalo]]&lt;=1.4,"ESTRECHO","ANCHO")</f>
        <v>ESTRECHO</v>
      </c>
      <c r="K59" s="92" t="s">
        <v>26</v>
      </c>
    </row>
    <row r="60" spans="2:11">
      <c r="B60" s="92">
        <v>5.5</v>
      </c>
      <c r="C60" s="92">
        <v>2.5</v>
      </c>
      <c r="D60" s="92">
        <v>4</v>
      </c>
      <c r="E60" s="92">
        <v>1.3</v>
      </c>
      <c r="F60" s="92" t="s">
        <v>26</v>
      </c>
      <c r="G60" s="92" t="str">
        <f>IF([1]!DataIris[[#This Row],[Largo de sépalo]]&lt;=5.5,"CORTO",IF([1]!DataIris[[#This Row],[Largo de sépalo]]&lt;=6.7,"MEDIANO","LARGO"))</f>
        <v>CORTO</v>
      </c>
      <c r="H60" s="92" t="str">
        <f>IF([1]!DataIris[[#This Row],[Ancho de sépalo]]&lt;=3.2,"ESTRECHO","ANCHO")</f>
        <v>ESTRECHO</v>
      </c>
      <c r="I60" s="92" t="str">
        <f>IF([1]!DataIris[[#This Row],[Largo de pétalo]]&lt;=3,"CORTO",IF([1]!DataIris[[#This Row],[Largo de pétalo]]&lt;=5,"MEDIANO","LARGO"))</f>
        <v>MEDIANO</v>
      </c>
      <c r="J60" s="92" t="str">
        <f>IF([1]!DataIris[[#This Row],[Ancho de pétalo]]&lt;=1.4,"ESTRECHO","ANCHO")</f>
        <v>ESTRECHO</v>
      </c>
      <c r="K60" s="92" t="s">
        <v>26</v>
      </c>
    </row>
    <row r="61" spans="2:11">
      <c r="B61" s="92">
        <v>5.6</v>
      </c>
      <c r="C61" s="92">
        <v>2.5</v>
      </c>
      <c r="D61" s="92">
        <v>3.9</v>
      </c>
      <c r="E61" s="92">
        <v>1.1000000000000001</v>
      </c>
      <c r="F61" s="92" t="s">
        <v>26</v>
      </c>
      <c r="G61" s="92" t="str">
        <f>IF([1]!DataIris[[#This Row],[Largo de sépalo]]&lt;=5.5,"CORTO",IF([1]!DataIris[[#This Row],[Largo de sépalo]]&lt;=6.7,"MEDIANO","LARGO"))</f>
        <v>MEDIANO</v>
      </c>
      <c r="H61" s="92" t="str">
        <f>IF([1]!DataIris[[#This Row],[Ancho de sépalo]]&lt;=3.2,"ESTRECHO","ANCHO")</f>
        <v>ESTRECHO</v>
      </c>
      <c r="I61" s="92" t="str">
        <f>IF([1]!DataIris[[#This Row],[Largo de pétalo]]&lt;=3,"CORTO",IF([1]!DataIris[[#This Row],[Largo de pétalo]]&lt;=5,"MEDIANO","LARGO"))</f>
        <v>MEDIANO</v>
      </c>
      <c r="J61" s="92" t="str">
        <f>IF([1]!DataIris[[#This Row],[Ancho de pétalo]]&lt;=1.4,"ESTRECHO","ANCHO")</f>
        <v>ESTRECHO</v>
      </c>
      <c r="K61" s="92" t="s">
        <v>27</v>
      </c>
    </row>
    <row r="62" spans="2:11">
      <c r="B62" s="92">
        <v>5.6</v>
      </c>
      <c r="C62" s="92">
        <v>2.9</v>
      </c>
      <c r="D62" s="92">
        <v>3.6</v>
      </c>
      <c r="E62" s="92">
        <v>1.3</v>
      </c>
      <c r="F62" s="92" t="s">
        <v>26</v>
      </c>
      <c r="G62" s="92" t="str">
        <f>IF([1]!DataIris[[#This Row],[Largo de sépalo]]&lt;=5.5,"CORTO",IF([1]!DataIris[[#This Row],[Largo de sépalo]]&lt;=6.7,"MEDIANO","LARGO"))</f>
        <v>MEDIANO</v>
      </c>
      <c r="H62" s="92" t="str">
        <f>IF([1]!DataIris[[#This Row],[Ancho de sépalo]]&lt;=3.2,"ESTRECHO","ANCHO")</f>
        <v>ESTRECHO</v>
      </c>
      <c r="I62" s="92" t="str">
        <f>IF([1]!DataIris[[#This Row],[Largo de pétalo]]&lt;=3,"CORTO",IF([1]!DataIris[[#This Row],[Largo de pétalo]]&lt;=5,"MEDIANO","LARGO"))</f>
        <v>MEDIANO</v>
      </c>
      <c r="J62" s="92" t="str">
        <f>IF([1]!DataIris[[#This Row],[Ancho de pétalo]]&lt;=1.4,"ESTRECHO","ANCHO")</f>
        <v>ESTRECHO</v>
      </c>
      <c r="K62" s="92" t="s">
        <v>27</v>
      </c>
    </row>
    <row r="63" spans="2:11">
      <c r="B63" s="92">
        <v>5.6</v>
      </c>
      <c r="C63" s="92">
        <v>3</v>
      </c>
      <c r="D63" s="92">
        <v>4.0999999999999996</v>
      </c>
      <c r="E63" s="92">
        <v>1.3</v>
      </c>
      <c r="F63" s="92" t="s">
        <v>26</v>
      </c>
      <c r="G63" s="92" t="str">
        <f>IF([1]!DataIris[[#This Row],[Largo de sépalo]]&lt;=5.5,"CORTO",IF([1]!DataIris[[#This Row],[Largo de sépalo]]&lt;=6.7,"MEDIANO","LARGO"))</f>
        <v>MEDIANO</v>
      </c>
      <c r="H63" s="92" t="str">
        <f>IF([1]!DataIris[[#This Row],[Ancho de sépalo]]&lt;=3.2,"ESTRECHO","ANCHO")</f>
        <v>ESTRECHO</v>
      </c>
      <c r="I63" s="92" t="str">
        <f>IF([1]!DataIris[[#This Row],[Largo de pétalo]]&lt;=3,"CORTO",IF([1]!DataIris[[#This Row],[Largo de pétalo]]&lt;=5,"MEDIANO","LARGO"))</f>
        <v>MEDIANO</v>
      </c>
      <c r="J63" s="92" t="str">
        <f>IF([1]!DataIris[[#This Row],[Ancho de pétalo]]&lt;=1.4,"ESTRECHO","ANCHO")</f>
        <v>ESTRECHO</v>
      </c>
      <c r="K63" s="92" t="s">
        <v>26</v>
      </c>
    </row>
    <row r="64" spans="2:11">
      <c r="B64" s="92">
        <v>5.6</v>
      </c>
      <c r="C64" s="92">
        <v>2.7</v>
      </c>
      <c r="D64" s="92">
        <v>4.2</v>
      </c>
      <c r="E64" s="92">
        <v>1.3</v>
      </c>
      <c r="F64" s="92" t="s">
        <v>26</v>
      </c>
      <c r="G64" s="92" t="str">
        <f>IF([1]!DataIris[[#This Row],[Largo de sépalo]]&lt;=5.5,"CORTO",IF([1]!DataIris[[#This Row],[Largo de sépalo]]&lt;=6.7,"MEDIANO","LARGO"))</f>
        <v>MEDIANO</v>
      </c>
      <c r="H64" s="92" t="str">
        <f>IF([1]!DataIris[[#This Row],[Ancho de sépalo]]&lt;=3.2,"ESTRECHO","ANCHO")</f>
        <v>ESTRECHO</v>
      </c>
      <c r="I64" s="92" t="str">
        <f>IF([1]!DataIris[[#This Row],[Largo de pétalo]]&lt;=3,"CORTO",IF([1]!DataIris[[#This Row],[Largo de pétalo]]&lt;=5,"MEDIANO","LARGO"))</f>
        <v>MEDIANO</v>
      </c>
      <c r="J64" s="92" t="str">
        <f>IF([1]!DataIris[[#This Row],[Ancho de pétalo]]&lt;=1.4,"ESTRECHO","ANCHO")</f>
        <v>ESTRECHO</v>
      </c>
      <c r="K64" s="92" t="s">
        <v>26</v>
      </c>
    </row>
    <row r="65" spans="2:11">
      <c r="B65" s="92">
        <v>5.6</v>
      </c>
      <c r="C65" s="92">
        <v>3</v>
      </c>
      <c r="D65" s="92">
        <v>4.5</v>
      </c>
      <c r="E65" s="92">
        <v>1.5</v>
      </c>
      <c r="F65" s="92" t="s">
        <v>26</v>
      </c>
      <c r="G65" s="92" t="str">
        <f>IF([1]!DataIris[[#This Row],[Largo de sépalo]]&lt;=5.5,"CORTO",IF([1]!DataIris[[#This Row],[Largo de sépalo]]&lt;=6.7,"MEDIANO","LARGO"))</f>
        <v>MEDIANO</v>
      </c>
      <c r="H65" s="92" t="str">
        <f>IF([1]!DataIris[[#This Row],[Ancho de sépalo]]&lt;=3.2,"ESTRECHO","ANCHO")</f>
        <v>ESTRECHO</v>
      </c>
      <c r="I65" s="92" t="str">
        <f>IF([1]!DataIris[[#This Row],[Largo de pétalo]]&lt;=3,"CORTO",IF([1]!DataIris[[#This Row],[Largo de pétalo]]&lt;=5,"MEDIANO","LARGO"))</f>
        <v>MEDIANO</v>
      </c>
      <c r="J65" s="92" t="str">
        <f>IF([1]!DataIris[[#This Row],[Ancho de pétalo]]&lt;=1.4,"ESTRECHO","ANCHO")</f>
        <v>ANCHO</v>
      </c>
      <c r="K65" s="92" t="s">
        <v>26</v>
      </c>
    </row>
    <row r="66" spans="2:11">
      <c r="B66" s="92">
        <v>5.6</v>
      </c>
      <c r="C66" s="92">
        <v>2.8</v>
      </c>
      <c r="D66" s="92">
        <v>4.9000000000000004</v>
      </c>
      <c r="E66" s="92">
        <v>2</v>
      </c>
      <c r="F66" s="92" t="s">
        <v>27</v>
      </c>
      <c r="G66" s="92" t="str">
        <f>IF([1]!DataIris[[#This Row],[Largo de sépalo]]&lt;=5.5,"CORTO",IF([1]!DataIris[[#This Row],[Largo de sépalo]]&lt;=6.7,"MEDIANO","LARGO"))</f>
        <v>MEDIANO</v>
      </c>
      <c r="H66" s="92" t="str">
        <f>IF([1]!DataIris[[#This Row],[Ancho de sépalo]]&lt;=3.2,"ESTRECHO","ANCHO")</f>
        <v>ESTRECHO</v>
      </c>
      <c r="I66" s="92" t="str">
        <f>IF([1]!DataIris[[#This Row],[Largo de pétalo]]&lt;=3,"CORTO",IF([1]!DataIris[[#This Row],[Largo de pétalo]]&lt;=5,"MEDIANO","LARGO"))</f>
        <v>MEDIANO</v>
      </c>
      <c r="J66" s="92" t="str">
        <f>IF([1]!DataIris[[#This Row],[Ancho de pétalo]]&lt;=1.4,"ESTRECHO","ANCHO")</f>
        <v>ANCHO</v>
      </c>
      <c r="K66" s="92" t="s">
        <v>26</v>
      </c>
    </row>
    <row r="67" spans="2:11">
      <c r="B67" s="92">
        <v>5.7</v>
      </c>
      <c r="C67" s="92">
        <v>3.8</v>
      </c>
      <c r="D67" s="92">
        <v>1.7</v>
      </c>
      <c r="E67" s="92">
        <v>0.3</v>
      </c>
      <c r="F67" s="92" t="s">
        <v>25</v>
      </c>
      <c r="G67" s="92" t="str">
        <f>IF([1]!DataIris[[#This Row],[Largo de sépalo]]&lt;=5.5,"CORTO",IF([1]!DataIris[[#This Row],[Largo de sépalo]]&lt;=6.7,"MEDIANO","LARGO"))</f>
        <v>MEDIANO</v>
      </c>
      <c r="H67" s="92" t="str">
        <f>IF([1]!DataIris[[#This Row],[Ancho de sépalo]]&lt;=3.2,"ESTRECHO","ANCHO")</f>
        <v>ANCHO</v>
      </c>
      <c r="I67" s="92" t="str">
        <f>IF([1]!DataIris[[#This Row],[Largo de pétalo]]&lt;=3,"CORTO",IF([1]!DataIris[[#This Row],[Largo de pétalo]]&lt;=5,"MEDIANO","LARGO"))</f>
        <v>CORTO</v>
      </c>
      <c r="J67" s="92" t="str">
        <f>IF([1]!DataIris[[#This Row],[Ancho de pétalo]]&lt;=1.4,"ESTRECHO","ANCHO")</f>
        <v>ESTRECHO</v>
      </c>
      <c r="K67" s="92" t="s">
        <v>27</v>
      </c>
    </row>
    <row r="68" spans="2:11">
      <c r="B68" s="92">
        <v>5.7</v>
      </c>
      <c r="C68" s="92">
        <v>4.4000000000000004</v>
      </c>
      <c r="D68" s="92">
        <v>1.5</v>
      </c>
      <c r="E68" s="92">
        <v>0.4</v>
      </c>
      <c r="F68" s="92" t="s">
        <v>25</v>
      </c>
      <c r="G68" s="92" t="str">
        <f>IF([1]!DataIris[[#This Row],[Largo de sépalo]]&lt;=5.5,"CORTO",IF([1]!DataIris[[#This Row],[Largo de sépalo]]&lt;=6.7,"MEDIANO","LARGO"))</f>
        <v>MEDIANO</v>
      </c>
      <c r="H68" s="92" t="str">
        <f>IF([1]!DataIris[[#This Row],[Ancho de sépalo]]&lt;=3.2,"ESTRECHO","ANCHO")</f>
        <v>ANCHO</v>
      </c>
      <c r="I68" s="92" t="str">
        <f>IF([1]!DataIris[[#This Row],[Largo de pétalo]]&lt;=3,"CORTO",IF([1]!DataIris[[#This Row],[Largo de pétalo]]&lt;=5,"MEDIANO","LARGO"))</f>
        <v>CORTO</v>
      </c>
      <c r="J68" s="92" t="str">
        <f>IF([1]!DataIris[[#This Row],[Ancho de pétalo]]&lt;=1.4,"ESTRECHO","ANCHO")</f>
        <v>ESTRECHO</v>
      </c>
      <c r="K68" s="92" t="s">
        <v>27</v>
      </c>
    </row>
    <row r="69" spans="2:11">
      <c r="B69" s="92">
        <v>5.7</v>
      </c>
      <c r="C69" s="92">
        <v>2.6</v>
      </c>
      <c r="D69" s="92">
        <v>3.5</v>
      </c>
      <c r="E69" s="92">
        <v>1</v>
      </c>
      <c r="F69" s="92" t="s">
        <v>26</v>
      </c>
      <c r="G69" s="92" t="str">
        <f>IF([1]!DataIris[[#This Row],[Largo de sépalo]]&lt;=5.5,"CORTO",IF([1]!DataIris[[#This Row],[Largo de sépalo]]&lt;=6.7,"MEDIANO","LARGO"))</f>
        <v>MEDIANO</v>
      </c>
      <c r="H69" s="92" t="str">
        <f>IF([1]!DataIris[[#This Row],[Ancho de sépalo]]&lt;=3.2,"ESTRECHO","ANCHO")</f>
        <v>ESTRECHO</v>
      </c>
      <c r="I69" s="92" t="str">
        <f>IF([1]!DataIris[[#This Row],[Largo de pétalo]]&lt;=3,"CORTO",IF([1]!DataIris[[#This Row],[Largo de pétalo]]&lt;=5,"MEDIANO","LARGO"))</f>
        <v>MEDIANO</v>
      </c>
      <c r="J69" s="92" t="str">
        <f>IF([1]!DataIris[[#This Row],[Ancho de pétalo]]&lt;=1.4,"ESTRECHO","ANCHO")</f>
        <v>ESTRECHO</v>
      </c>
      <c r="K69" s="92" t="s">
        <v>26</v>
      </c>
    </row>
    <row r="70" spans="2:11">
      <c r="B70" s="92">
        <v>5.7</v>
      </c>
      <c r="C70" s="92">
        <v>3</v>
      </c>
      <c r="D70" s="92">
        <v>4.2</v>
      </c>
      <c r="E70" s="92">
        <v>1.2</v>
      </c>
      <c r="F70" s="92" t="s">
        <v>26</v>
      </c>
      <c r="G70" s="92" t="str">
        <f>IF([1]!DataIris[[#This Row],[Largo de sépalo]]&lt;=5.5,"CORTO",IF([1]!DataIris[[#This Row],[Largo de sépalo]]&lt;=6.7,"MEDIANO","LARGO"))</f>
        <v>MEDIANO</v>
      </c>
      <c r="H70" s="92" t="str">
        <f>IF([1]!DataIris[[#This Row],[Ancho de sépalo]]&lt;=3.2,"ESTRECHO","ANCHO")</f>
        <v>ESTRECHO</v>
      </c>
      <c r="I70" s="92" t="str">
        <f>IF([1]!DataIris[[#This Row],[Largo de pétalo]]&lt;=3,"CORTO",IF([1]!DataIris[[#This Row],[Largo de pétalo]]&lt;=5,"MEDIANO","LARGO"))</f>
        <v>MEDIANO</v>
      </c>
      <c r="J70" s="92" t="str">
        <f>IF([1]!DataIris[[#This Row],[Ancho de pétalo]]&lt;=1.4,"ESTRECHO","ANCHO")</f>
        <v>ESTRECHO</v>
      </c>
      <c r="K70" s="92" t="s">
        <v>26</v>
      </c>
    </row>
    <row r="71" spans="2:11">
      <c r="B71" s="92">
        <v>5.7</v>
      </c>
      <c r="C71" s="92">
        <v>2.8</v>
      </c>
      <c r="D71" s="92">
        <v>4.0999999999999996</v>
      </c>
      <c r="E71" s="92">
        <v>1.3</v>
      </c>
      <c r="F71" s="92" t="s">
        <v>26</v>
      </c>
      <c r="G71" s="92" t="str">
        <f>IF([1]!DataIris[[#This Row],[Largo de sépalo]]&lt;=5.5,"CORTO",IF([1]!DataIris[[#This Row],[Largo de sépalo]]&lt;=6.7,"MEDIANO","LARGO"))</f>
        <v>MEDIANO</v>
      </c>
      <c r="H71" s="92" t="str">
        <f>IF([1]!DataIris[[#This Row],[Ancho de sépalo]]&lt;=3.2,"ESTRECHO","ANCHO")</f>
        <v>ESTRECHO</v>
      </c>
      <c r="I71" s="92" t="str">
        <f>IF([1]!DataIris[[#This Row],[Largo de pétalo]]&lt;=3,"CORTO",IF([1]!DataIris[[#This Row],[Largo de pétalo]]&lt;=5,"MEDIANO","LARGO"))</f>
        <v>MEDIANO</v>
      </c>
      <c r="J71" s="92" t="str">
        <f>IF([1]!DataIris[[#This Row],[Ancho de pétalo]]&lt;=1.4,"ESTRECHO","ANCHO")</f>
        <v>ESTRECHO</v>
      </c>
      <c r="K71" s="92" t="s">
        <v>26</v>
      </c>
    </row>
    <row r="72" spans="2:11">
      <c r="B72" s="92">
        <v>5.7</v>
      </c>
      <c r="C72" s="92">
        <v>2.9</v>
      </c>
      <c r="D72" s="92">
        <v>4.2</v>
      </c>
      <c r="E72" s="92">
        <v>1.3</v>
      </c>
      <c r="F72" s="92" t="s">
        <v>26</v>
      </c>
      <c r="G72" s="92" t="str">
        <f>IF([1]!DataIris[[#This Row],[Largo de sépalo]]&lt;=5.5,"CORTO",IF([1]!DataIris[[#This Row],[Largo de sépalo]]&lt;=6.7,"MEDIANO","LARGO"))</f>
        <v>MEDIANO</v>
      </c>
      <c r="H72" s="92" t="str">
        <f>IF([1]!DataIris[[#This Row],[Ancho de sépalo]]&lt;=3.2,"ESTRECHO","ANCHO")</f>
        <v>ESTRECHO</v>
      </c>
      <c r="I72" s="92" t="str">
        <f>IF([1]!DataIris[[#This Row],[Largo de pétalo]]&lt;=3,"CORTO",IF([1]!DataIris[[#This Row],[Largo de pétalo]]&lt;=5,"MEDIANO","LARGO"))</f>
        <v>MEDIANO</v>
      </c>
      <c r="J72" s="92" t="str">
        <f>IF([1]!DataIris[[#This Row],[Ancho de pétalo]]&lt;=1.4,"ESTRECHO","ANCHO")</f>
        <v>ESTRECHO</v>
      </c>
      <c r="K72" s="92" t="s">
        <v>26</v>
      </c>
    </row>
    <row r="73" spans="2:11">
      <c r="B73" s="92">
        <v>5.7</v>
      </c>
      <c r="C73" s="92">
        <v>2.8</v>
      </c>
      <c r="D73" s="92">
        <v>4.5</v>
      </c>
      <c r="E73" s="92">
        <v>1.3</v>
      </c>
      <c r="F73" s="92" t="s">
        <v>26</v>
      </c>
      <c r="G73" s="92" t="str">
        <f>IF([1]!DataIris[[#This Row],[Largo de sépalo]]&lt;=5.5,"CORTO",IF([1]!DataIris[[#This Row],[Largo de sépalo]]&lt;=6.7,"MEDIANO","LARGO"))</f>
        <v>MEDIANO</v>
      </c>
      <c r="H73" s="92" t="str">
        <f>IF([1]!DataIris[[#This Row],[Ancho de sépalo]]&lt;=3.2,"ESTRECHO","ANCHO")</f>
        <v>ESTRECHO</v>
      </c>
      <c r="I73" s="92" t="str">
        <f>IF([1]!DataIris[[#This Row],[Largo de pétalo]]&lt;=3,"CORTO",IF([1]!DataIris[[#This Row],[Largo de pétalo]]&lt;=5,"MEDIANO","LARGO"))</f>
        <v>MEDIANO</v>
      </c>
      <c r="J73" s="92" t="str">
        <f>IF([1]!DataIris[[#This Row],[Ancho de pétalo]]&lt;=1.4,"ESTRECHO","ANCHO")</f>
        <v>ESTRECHO</v>
      </c>
      <c r="K73" s="92" t="s">
        <v>27</v>
      </c>
    </row>
    <row r="74" spans="2:11">
      <c r="B74" s="92">
        <v>5.7</v>
      </c>
      <c r="C74" s="92">
        <v>2.5</v>
      </c>
      <c r="D74" s="92">
        <v>5</v>
      </c>
      <c r="E74" s="92">
        <v>2</v>
      </c>
      <c r="F74" s="92" t="s">
        <v>27</v>
      </c>
      <c r="G74" s="92" t="str">
        <f>IF([1]!DataIris[[#This Row],[Largo de sépalo]]&lt;=5.5,"CORTO",IF([1]!DataIris[[#This Row],[Largo de sépalo]]&lt;=6.7,"MEDIANO","LARGO"))</f>
        <v>MEDIANO</v>
      </c>
      <c r="H74" s="92" t="str">
        <f>IF([1]!DataIris[[#This Row],[Ancho de sépalo]]&lt;=3.2,"ESTRECHO","ANCHO")</f>
        <v>ESTRECHO</v>
      </c>
      <c r="I74" s="92" t="str">
        <f>IF([1]!DataIris[[#This Row],[Largo de pétalo]]&lt;=3,"CORTO",IF([1]!DataIris[[#This Row],[Largo de pétalo]]&lt;=5,"MEDIANO","LARGO"))</f>
        <v>MEDIANO</v>
      </c>
      <c r="J74" s="92" t="str">
        <f>IF([1]!DataIris[[#This Row],[Ancho de pétalo]]&lt;=1.4,"ESTRECHO","ANCHO")</f>
        <v>ANCHO</v>
      </c>
      <c r="K74" s="92" t="s">
        <v>27</v>
      </c>
    </row>
    <row r="75" spans="2:11">
      <c r="B75" s="92">
        <v>5.8</v>
      </c>
      <c r="C75" s="92">
        <v>4</v>
      </c>
      <c r="D75" s="92">
        <v>1.2</v>
      </c>
      <c r="E75" s="92">
        <v>0.2</v>
      </c>
      <c r="F75" s="92" t="s">
        <v>25</v>
      </c>
      <c r="G75" s="92" t="str">
        <f>IF([1]!DataIris[[#This Row],[Largo de sépalo]]&lt;=5.5,"CORTO",IF([1]!DataIris[[#This Row],[Largo de sépalo]]&lt;=6.7,"MEDIANO","LARGO"))</f>
        <v>MEDIANO</v>
      </c>
      <c r="H75" s="92" t="str">
        <f>IF([1]!DataIris[[#This Row],[Ancho de sépalo]]&lt;=3.2,"ESTRECHO","ANCHO")</f>
        <v>ANCHO</v>
      </c>
      <c r="I75" s="92" t="str">
        <f>IF([1]!DataIris[[#This Row],[Largo de pétalo]]&lt;=3,"CORTO",IF([1]!DataIris[[#This Row],[Largo de pétalo]]&lt;=5,"MEDIANO","LARGO"))</f>
        <v>CORTO</v>
      </c>
      <c r="J75" s="92" t="str">
        <f>IF([1]!DataIris[[#This Row],[Ancho de pétalo]]&lt;=1.4,"ESTRECHO","ANCHO")</f>
        <v>ESTRECHO</v>
      </c>
      <c r="K75" s="92" t="s">
        <v>26</v>
      </c>
    </row>
    <row r="76" spans="2:11">
      <c r="B76" s="92">
        <v>5.8</v>
      </c>
      <c r="C76" s="92">
        <v>2.7</v>
      </c>
      <c r="D76" s="92">
        <v>4.0999999999999996</v>
      </c>
      <c r="E76" s="92">
        <v>1</v>
      </c>
      <c r="F76" s="92" t="s">
        <v>26</v>
      </c>
      <c r="G76" s="92" t="str">
        <f>IF([1]!DataIris[[#This Row],[Largo de sépalo]]&lt;=5.5,"CORTO",IF([1]!DataIris[[#This Row],[Largo de sépalo]]&lt;=6.7,"MEDIANO","LARGO"))</f>
        <v>MEDIANO</v>
      </c>
      <c r="H76" s="92" t="str">
        <f>IF([1]!DataIris[[#This Row],[Ancho de sépalo]]&lt;=3.2,"ESTRECHO","ANCHO")</f>
        <v>ESTRECHO</v>
      </c>
      <c r="I76" s="92" t="str">
        <f>IF([1]!DataIris[[#This Row],[Largo de pétalo]]&lt;=3,"CORTO",IF([1]!DataIris[[#This Row],[Largo de pétalo]]&lt;=5,"MEDIANO","LARGO"))</f>
        <v>MEDIANO</v>
      </c>
      <c r="J76" s="92" t="str">
        <f>IF([1]!DataIris[[#This Row],[Ancho de pétalo]]&lt;=1.4,"ESTRECHO","ANCHO")</f>
        <v>ESTRECHO</v>
      </c>
      <c r="K76" s="92" t="s">
        <v>27</v>
      </c>
    </row>
    <row r="77" spans="2:11">
      <c r="B77" s="92">
        <v>5.8</v>
      </c>
      <c r="C77" s="92">
        <v>2.7</v>
      </c>
      <c r="D77" s="92">
        <v>3.9</v>
      </c>
      <c r="E77" s="92">
        <v>1.2</v>
      </c>
      <c r="F77" s="92" t="s">
        <v>26</v>
      </c>
      <c r="G77" s="92" t="str">
        <f>IF([1]!DataIris[[#This Row],[Largo de sépalo]]&lt;=5.5,"CORTO",IF([1]!DataIris[[#This Row],[Largo de sépalo]]&lt;=6.7,"MEDIANO","LARGO"))</f>
        <v>MEDIANO</v>
      </c>
      <c r="H77" s="92" t="str">
        <f>IF([1]!DataIris[[#This Row],[Ancho de sépalo]]&lt;=3.2,"ESTRECHO","ANCHO")</f>
        <v>ESTRECHO</v>
      </c>
      <c r="I77" s="92" t="str">
        <f>IF([1]!DataIris[[#This Row],[Largo de pétalo]]&lt;=3,"CORTO",IF([1]!DataIris[[#This Row],[Largo de pétalo]]&lt;=5,"MEDIANO","LARGO"))</f>
        <v>MEDIANO</v>
      </c>
      <c r="J77" s="92" t="str">
        <f>IF([1]!DataIris[[#This Row],[Ancho de pétalo]]&lt;=1.4,"ESTRECHO","ANCHO")</f>
        <v>ESTRECHO</v>
      </c>
      <c r="K77" s="92" t="s">
        <v>26</v>
      </c>
    </row>
    <row r="78" spans="2:11">
      <c r="B78" s="92">
        <v>5.8</v>
      </c>
      <c r="C78" s="92">
        <v>2.6</v>
      </c>
      <c r="D78" s="92">
        <v>4</v>
      </c>
      <c r="E78" s="92">
        <v>1.2</v>
      </c>
      <c r="F78" s="92" t="s">
        <v>26</v>
      </c>
      <c r="G78" s="92" t="str">
        <f>IF([1]!DataIris[[#This Row],[Largo de sépalo]]&lt;=5.5,"CORTO",IF([1]!DataIris[[#This Row],[Largo de sépalo]]&lt;=6.7,"MEDIANO","LARGO"))</f>
        <v>MEDIANO</v>
      </c>
      <c r="H78" s="92" t="str">
        <f>IF([1]!DataIris[[#This Row],[Ancho de sépalo]]&lt;=3.2,"ESTRECHO","ANCHO")</f>
        <v>ESTRECHO</v>
      </c>
      <c r="I78" s="92" t="str">
        <f>IF([1]!DataIris[[#This Row],[Largo de pétalo]]&lt;=3,"CORTO",IF([1]!DataIris[[#This Row],[Largo de pétalo]]&lt;=5,"MEDIANO","LARGO"))</f>
        <v>MEDIANO</v>
      </c>
      <c r="J78" s="92" t="str">
        <f>IF([1]!DataIris[[#This Row],[Ancho de pétalo]]&lt;=1.4,"ESTRECHO","ANCHO")</f>
        <v>ESTRECHO</v>
      </c>
      <c r="K78" s="92" t="s">
        <v>26</v>
      </c>
    </row>
    <row r="79" spans="2:11">
      <c r="B79" s="92">
        <v>5.8</v>
      </c>
      <c r="C79" s="92">
        <v>2.7</v>
      </c>
      <c r="D79" s="92">
        <v>5.0999999999999996</v>
      </c>
      <c r="E79" s="92">
        <v>1.9</v>
      </c>
      <c r="F79" s="92" t="s">
        <v>27</v>
      </c>
      <c r="G79" s="92" t="str">
        <f>IF([1]!DataIris[[#This Row],[Largo de sépalo]]&lt;=5.5,"CORTO",IF([1]!DataIris[[#This Row],[Largo de sépalo]]&lt;=6.7,"MEDIANO","LARGO"))</f>
        <v>MEDIANO</v>
      </c>
      <c r="H79" s="92" t="str">
        <f>IF([1]!DataIris[[#This Row],[Ancho de sépalo]]&lt;=3.2,"ESTRECHO","ANCHO")</f>
        <v>ESTRECHO</v>
      </c>
      <c r="I79" s="92" t="str">
        <f>IF([1]!DataIris[[#This Row],[Largo de pétalo]]&lt;=3,"CORTO",IF([1]!DataIris[[#This Row],[Largo de pétalo]]&lt;=5,"MEDIANO","LARGO"))</f>
        <v>LARGO</v>
      </c>
      <c r="J79" s="92" t="str">
        <f>IF([1]!DataIris[[#This Row],[Ancho de pétalo]]&lt;=1.4,"ESTRECHO","ANCHO")</f>
        <v>ANCHO</v>
      </c>
      <c r="K79" s="92" t="s">
        <v>27</v>
      </c>
    </row>
    <row r="80" spans="2:11">
      <c r="B80" s="92">
        <v>5.8</v>
      </c>
      <c r="C80" s="92">
        <v>2.7</v>
      </c>
      <c r="D80" s="92">
        <v>5.0999999999999996</v>
      </c>
      <c r="E80" s="92">
        <v>1.9</v>
      </c>
      <c r="F80" s="92" t="s">
        <v>27</v>
      </c>
      <c r="G80" s="92" t="str">
        <f>IF([1]!DataIris[[#This Row],[Largo de sépalo]]&lt;=5.5,"CORTO",IF([1]!DataIris[[#This Row],[Largo de sépalo]]&lt;=6.7,"MEDIANO","LARGO"))</f>
        <v>MEDIANO</v>
      </c>
      <c r="H80" s="92" t="str">
        <f>IF([1]!DataIris[[#This Row],[Ancho de sépalo]]&lt;=3.2,"ESTRECHO","ANCHO")</f>
        <v>ESTRECHO</v>
      </c>
      <c r="I80" s="92" t="str">
        <f>IF([1]!DataIris[[#This Row],[Largo de pétalo]]&lt;=3,"CORTO",IF([1]!DataIris[[#This Row],[Largo de pétalo]]&lt;=5,"MEDIANO","LARGO"))</f>
        <v>LARGO</v>
      </c>
      <c r="J80" s="92" t="str">
        <f>IF([1]!DataIris[[#This Row],[Ancho de pétalo]]&lt;=1.4,"ESTRECHO","ANCHO")</f>
        <v>ANCHO</v>
      </c>
      <c r="K80" s="92" t="s">
        <v>27</v>
      </c>
    </row>
    <row r="81" spans="2:11">
      <c r="B81" s="92">
        <v>5.8</v>
      </c>
      <c r="C81" s="92">
        <v>2.8</v>
      </c>
      <c r="D81" s="92">
        <v>5.0999999999999996</v>
      </c>
      <c r="E81" s="92">
        <v>2.4</v>
      </c>
      <c r="F81" s="92" t="s">
        <v>27</v>
      </c>
      <c r="G81" s="92" t="str">
        <f>IF([1]!DataIris[[#This Row],[Largo de sépalo]]&lt;=5.5,"CORTO",IF([1]!DataIris[[#This Row],[Largo de sépalo]]&lt;=6.7,"MEDIANO","LARGO"))</f>
        <v>MEDIANO</v>
      </c>
      <c r="H81" s="92" t="str">
        <f>IF([1]!DataIris[[#This Row],[Ancho de sépalo]]&lt;=3.2,"ESTRECHO","ANCHO")</f>
        <v>ESTRECHO</v>
      </c>
      <c r="I81" s="92" t="str">
        <f>IF([1]!DataIris[[#This Row],[Largo de pétalo]]&lt;=3,"CORTO",IF([1]!DataIris[[#This Row],[Largo de pétalo]]&lt;=5,"MEDIANO","LARGO"))</f>
        <v>LARGO</v>
      </c>
      <c r="J81" s="92" t="str">
        <f>IF([1]!DataIris[[#This Row],[Ancho de pétalo]]&lt;=1.4,"ESTRECHO","ANCHO")</f>
        <v>ANCHO</v>
      </c>
      <c r="K81" s="92" t="s">
        <v>27</v>
      </c>
    </row>
    <row r="82" spans="2:11">
      <c r="B82" s="92">
        <v>5.9</v>
      </c>
      <c r="C82" s="92">
        <v>3</v>
      </c>
      <c r="D82" s="92">
        <v>4.2</v>
      </c>
      <c r="E82" s="92">
        <v>1.5</v>
      </c>
      <c r="F82" s="92" t="s">
        <v>26</v>
      </c>
      <c r="G82" s="92" t="str">
        <f>IF([1]!DataIris[[#This Row],[Largo de sépalo]]&lt;=5.5,"CORTO",IF([1]!DataIris[[#This Row],[Largo de sépalo]]&lt;=6.7,"MEDIANO","LARGO"))</f>
        <v>MEDIANO</v>
      </c>
      <c r="H82" s="92" t="str">
        <f>IF([1]!DataIris[[#This Row],[Ancho de sépalo]]&lt;=3.2,"ESTRECHO","ANCHO")</f>
        <v>ESTRECHO</v>
      </c>
      <c r="I82" s="92" t="str">
        <f>IF([1]!DataIris[[#This Row],[Largo de pétalo]]&lt;=3,"CORTO",IF([1]!DataIris[[#This Row],[Largo de pétalo]]&lt;=5,"MEDIANO","LARGO"))</f>
        <v>MEDIANO</v>
      </c>
      <c r="J82" s="92" t="str">
        <f>IF([1]!DataIris[[#This Row],[Ancho de pétalo]]&lt;=1.4,"ESTRECHO","ANCHO")</f>
        <v>ANCHO</v>
      </c>
      <c r="K82" s="92" t="s">
        <v>27</v>
      </c>
    </row>
    <row r="83" spans="2:11">
      <c r="B83" s="92">
        <v>5.9</v>
      </c>
      <c r="C83" s="92">
        <v>3.2</v>
      </c>
      <c r="D83" s="92">
        <v>4.8</v>
      </c>
      <c r="E83" s="92">
        <v>1.8</v>
      </c>
      <c r="F83" s="92" t="s">
        <v>26</v>
      </c>
      <c r="G83" s="92" t="str">
        <f>IF([1]!DataIris[[#This Row],[Largo de sépalo]]&lt;=5.5,"CORTO",IF([1]!DataIris[[#This Row],[Largo de sépalo]]&lt;=6.7,"MEDIANO","LARGO"))</f>
        <v>MEDIANO</v>
      </c>
      <c r="H83" s="92" t="str">
        <f>IF([1]!DataIris[[#This Row],[Ancho de sépalo]]&lt;=3.2,"ESTRECHO","ANCHO")</f>
        <v>ESTRECHO</v>
      </c>
      <c r="I83" s="92" t="str">
        <f>IF([1]!DataIris[[#This Row],[Largo de pétalo]]&lt;=3,"CORTO",IF([1]!DataIris[[#This Row],[Largo de pétalo]]&lt;=5,"MEDIANO","LARGO"))</f>
        <v>MEDIANO</v>
      </c>
      <c r="J83" s="92" t="str">
        <f>IF([1]!DataIris[[#This Row],[Ancho de pétalo]]&lt;=1.4,"ESTRECHO","ANCHO")</f>
        <v>ANCHO</v>
      </c>
      <c r="K83" s="92" t="s">
        <v>26</v>
      </c>
    </row>
    <row r="84" spans="2:11">
      <c r="B84" s="92">
        <v>5.9</v>
      </c>
      <c r="C84" s="92">
        <v>3</v>
      </c>
      <c r="D84" s="92">
        <v>5.0999999999999996</v>
      </c>
      <c r="E84" s="92">
        <v>1.8</v>
      </c>
      <c r="F84" s="92" t="s">
        <v>27</v>
      </c>
      <c r="G84" s="92" t="str">
        <f>IF([1]!DataIris[[#This Row],[Largo de sépalo]]&lt;=5.5,"CORTO",IF([1]!DataIris[[#This Row],[Largo de sépalo]]&lt;=6.7,"MEDIANO","LARGO"))</f>
        <v>MEDIANO</v>
      </c>
      <c r="H84" s="92" t="str">
        <f>IF([1]!DataIris[[#This Row],[Ancho de sépalo]]&lt;=3.2,"ESTRECHO","ANCHO")</f>
        <v>ESTRECHO</v>
      </c>
      <c r="I84" s="92" t="str">
        <f>IF([1]!DataIris[[#This Row],[Largo de pétalo]]&lt;=3,"CORTO",IF([1]!DataIris[[#This Row],[Largo de pétalo]]&lt;=5,"MEDIANO","LARGO"))</f>
        <v>LARGO</v>
      </c>
      <c r="J84" s="92" t="str">
        <f>IF([1]!DataIris[[#This Row],[Ancho de pétalo]]&lt;=1.4,"ESTRECHO","ANCHO")</f>
        <v>ANCHO</v>
      </c>
      <c r="K84" s="92" t="s">
        <v>27</v>
      </c>
    </row>
    <row r="85" spans="2:11">
      <c r="B85" s="92">
        <v>6</v>
      </c>
      <c r="C85" s="92">
        <v>2.2000000000000002</v>
      </c>
      <c r="D85" s="92">
        <v>4</v>
      </c>
      <c r="E85" s="92">
        <v>1</v>
      </c>
      <c r="F85" s="92" t="s">
        <v>26</v>
      </c>
      <c r="G85" s="92" t="str">
        <f>IF([1]!DataIris[[#This Row],[Largo de sépalo]]&lt;=5.5,"CORTO",IF([1]!DataIris[[#This Row],[Largo de sépalo]]&lt;=6.7,"MEDIANO","LARGO"))</f>
        <v>MEDIANO</v>
      </c>
      <c r="H85" s="92" t="str">
        <f>IF([1]!DataIris[[#This Row],[Ancho de sépalo]]&lt;=3.2,"ESTRECHO","ANCHO")</f>
        <v>ESTRECHO</v>
      </c>
      <c r="I85" s="92" t="str">
        <f>IF([1]!DataIris[[#This Row],[Largo de pétalo]]&lt;=3,"CORTO",IF([1]!DataIris[[#This Row],[Largo de pétalo]]&lt;=5,"MEDIANO","LARGO"))</f>
        <v>MEDIANO</v>
      </c>
      <c r="J85" s="92" t="str">
        <f>IF([1]!DataIris[[#This Row],[Ancho de pétalo]]&lt;=1.4,"ESTRECHO","ANCHO")</f>
        <v>ESTRECHO</v>
      </c>
      <c r="K85" s="92" t="s">
        <v>27</v>
      </c>
    </row>
    <row r="86" spans="2:11">
      <c r="B86" s="92">
        <v>6</v>
      </c>
      <c r="C86" s="92">
        <v>2.9</v>
      </c>
      <c r="D86" s="92">
        <v>4.5</v>
      </c>
      <c r="E86" s="92">
        <v>1.5</v>
      </c>
      <c r="F86" s="92" t="s">
        <v>26</v>
      </c>
      <c r="G86" s="92" t="str">
        <f>IF([1]!DataIris[[#This Row],[Largo de sépalo]]&lt;=5.5,"CORTO",IF([1]!DataIris[[#This Row],[Largo de sépalo]]&lt;=6.7,"MEDIANO","LARGO"))</f>
        <v>MEDIANO</v>
      </c>
      <c r="H86" s="92" t="str">
        <f>IF([1]!DataIris[[#This Row],[Ancho de sépalo]]&lt;=3.2,"ESTRECHO","ANCHO")</f>
        <v>ESTRECHO</v>
      </c>
      <c r="I86" s="92" t="str">
        <f>IF([1]!DataIris[[#This Row],[Largo de pétalo]]&lt;=3,"CORTO",IF([1]!DataIris[[#This Row],[Largo de pétalo]]&lt;=5,"MEDIANO","LARGO"))</f>
        <v>MEDIANO</v>
      </c>
      <c r="J86" s="92" t="str">
        <f>IF([1]!DataIris[[#This Row],[Ancho de pétalo]]&lt;=1.4,"ESTRECHO","ANCHO")</f>
        <v>ANCHO</v>
      </c>
      <c r="K86" s="92" t="s">
        <v>27</v>
      </c>
    </row>
    <row r="87" spans="2:11">
      <c r="B87" s="92">
        <v>6</v>
      </c>
      <c r="C87" s="92">
        <v>2.2000000000000002</v>
      </c>
      <c r="D87" s="92">
        <v>5</v>
      </c>
      <c r="E87" s="92">
        <v>1.5</v>
      </c>
      <c r="F87" s="92" t="s">
        <v>27</v>
      </c>
      <c r="G87" s="92" t="str">
        <f>IF([1]!DataIris[[#This Row],[Largo de sépalo]]&lt;=5.5,"CORTO",IF([1]!DataIris[[#This Row],[Largo de sépalo]]&lt;=6.7,"MEDIANO","LARGO"))</f>
        <v>MEDIANO</v>
      </c>
      <c r="H87" s="92" t="str">
        <f>IF([1]!DataIris[[#This Row],[Ancho de sépalo]]&lt;=3.2,"ESTRECHO","ANCHO")</f>
        <v>ESTRECHO</v>
      </c>
      <c r="I87" s="92" t="str">
        <f>IF([1]!DataIris[[#This Row],[Largo de pétalo]]&lt;=3,"CORTO",IF([1]!DataIris[[#This Row],[Largo de pétalo]]&lt;=5,"MEDIANO","LARGO"))</f>
        <v>MEDIANO</v>
      </c>
      <c r="J87" s="92" t="str">
        <f>IF([1]!DataIris[[#This Row],[Ancho de pétalo]]&lt;=1.4,"ESTRECHO","ANCHO")</f>
        <v>ANCHO</v>
      </c>
      <c r="K87" s="92" t="s">
        <v>27</v>
      </c>
    </row>
    <row r="88" spans="2:11">
      <c r="B88" s="92">
        <v>6</v>
      </c>
      <c r="C88" s="92">
        <v>3.4</v>
      </c>
      <c r="D88" s="92">
        <v>4.5</v>
      </c>
      <c r="E88" s="92">
        <v>1.6</v>
      </c>
      <c r="F88" s="92" t="s">
        <v>26</v>
      </c>
      <c r="G88" s="92" t="str">
        <f>IF([1]!DataIris[[#This Row],[Largo de sépalo]]&lt;=5.5,"CORTO",IF([1]!DataIris[[#This Row],[Largo de sépalo]]&lt;=6.7,"MEDIANO","LARGO"))</f>
        <v>MEDIANO</v>
      </c>
      <c r="H88" s="92" t="str">
        <f>IF([1]!DataIris[[#This Row],[Ancho de sépalo]]&lt;=3.2,"ESTRECHO","ANCHO")</f>
        <v>ANCHO</v>
      </c>
      <c r="I88" s="92" t="str">
        <f>IF([1]!DataIris[[#This Row],[Largo de pétalo]]&lt;=3,"CORTO",IF([1]!DataIris[[#This Row],[Largo de pétalo]]&lt;=5,"MEDIANO","LARGO"))</f>
        <v>MEDIANO</v>
      </c>
      <c r="J88" s="92" t="str">
        <f>IF([1]!DataIris[[#This Row],[Ancho de pétalo]]&lt;=1.4,"ESTRECHO","ANCHO")</f>
        <v>ANCHO</v>
      </c>
      <c r="K88" s="92" t="s">
        <v>27</v>
      </c>
    </row>
    <row r="89" spans="2:11">
      <c r="B89" s="92">
        <v>6</v>
      </c>
      <c r="C89" s="92">
        <v>2.7</v>
      </c>
      <c r="D89" s="92">
        <v>5.0999999999999996</v>
      </c>
      <c r="E89" s="92">
        <v>1.6</v>
      </c>
      <c r="F89" s="92" t="s">
        <v>26</v>
      </c>
      <c r="G89" s="92" t="str">
        <f>IF([1]!DataIris[[#This Row],[Largo de sépalo]]&lt;=5.5,"CORTO",IF([1]!DataIris[[#This Row],[Largo de sépalo]]&lt;=6.7,"MEDIANO","LARGO"))</f>
        <v>MEDIANO</v>
      </c>
      <c r="H89" s="92" t="str">
        <f>IF([1]!DataIris[[#This Row],[Ancho de sépalo]]&lt;=3.2,"ESTRECHO","ANCHO")</f>
        <v>ESTRECHO</v>
      </c>
      <c r="I89" s="92" t="str">
        <f>IF([1]!DataIris[[#This Row],[Largo de pétalo]]&lt;=3,"CORTO",IF([1]!DataIris[[#This Row],[Largo de pétalo]]&lt;=5,"MEDIANO","LARGO"))</f>
        <v>LARGO</v>
      </c>
      <c r="J89" s="92" t="str">
        <f>IF([1]!DataIris[[#This Row],[Ancho de pétalo]]&lt;=1.4,"ESTRECHO","ANCHO")</f>
        <v>ANCHO</v>
      </c>
      <c r="K89" s="92" t="s">
        <v>27</v>
      </c>
    </row>
    <row r="90" spans="2:11">
      <c r="B90" s="92">
        <v>6</v>
      </c>
      <c r="C90" s="92">
        <v>3</v>
      </c>
      <c r="D90" s="92">
        <v>4.8</v>
      </c>
      <c r="E90" s="92">
        <v>1.8</v>
      </c>
      <c r="F90" s="92" t="s">
        <v>27</v>
      </c>
      <c r="G90" s="92" t="str">
        <f>IF([1]!DataIris[[#This Row],[Largo de sépalo]]&lt;=5.5,"CORTO",IF([1]!DataIris[[#This Row],[Largo de sépalo]]&lt;=6.7,"MEDIANO","LARGO"))</f>
        <v>MEDIANO</v>
      </c>
      <c r="H90" s="92" t="str">
        <f>IF([1]!DataIris[[#This Row],[Ancho de sépalo]]&lt;=3.2,"ESTRECHO","ANCHO")</f>
        <v>ESTRECHO</v>
      </c>
      <c r="I90" s="92" t="str">
        <f>IF([1]!DataIris[[#This Row],[Largo de pétalo]]&lt;=3,"CORTO",IF([1]!DataIris[[#This Row],[Largo de pétalo]]&lt;=5,"MEDIANO","LARGO"))</f>
        <v>MEDIANO</v>
      </c>
      <c r="J90" s="92" t="str">
        <f>IF([1]!DataIris[[#This Row],[Ancho de pétalo]]&lt;=1.4,"ESTRECHO","ANCHO")</f>
        <v>ANCHO</v>
      </c>
      <c r="K90" s="92" t="s">
        <v>27</v>
      </c>
    </row>
    <row r="91" spans="2:11">
      <c r="B91" s="92">
        <v>6.1</v>
      </c>
      <c r="C91" s="92">
        <v>2.8</v>
      </c>
      <c r="D91" s="92">
        <v>4.7</v>
      </c>
      <c r="E91" s="92">
        <v>1.2</v>
      </c>
      <c r="F91" s="92" t="s">
        <v>26</v>
      </c>
      <c r="G91" s="92" t="str">
        <f>IF([1]!DataIris[[#This Row],[Largo de sépalo]]&lt;=5.5,"CORTO",IF([1]!DataIris[[#This Row],[Largo de sépalo]]&lt;=6.7,"MEDIANO","LARGO"))</f>
        <v>MEDIANO</v>
      </c>
      <c r="H91" s="92" t="str">
        <f>IF([1]!DataIris[[#This Row],[Ancho de sépalo]]&lt;=3.2,"ESTRECHO","ANCHO")</f>
        <v>ESTRECHO</v>
      </c>
      <c r="I91" s="92" t="str">
        <f>IF([1]!DataIris[[#This Row],[Largo de pétalo]]&lt;=3,"CORTO",IF([1]!DataIris[[#This Row],[Largo de pétalo]]&lt;=5,"MEDIANO","LARGO"))</f>
        <v>MEDIANO</v>
      </c>
      <c r="J91" s="92" t="str">
        <f>IF([1]!DataIris[[#This Row],[Ancho de pétalo]]&lt;=1.4,"ESTRECHO","ANCHO")</f>
        <v>ESTRECHO</v>
      </c>
      <c r="K91" s="92" t="s">
        <v>27</v>
      </c>
    </row>
    <row r="92" spans="2:11">
      <c r="B92" s="92">
        <v>6.1</v>
      </c>
      <c r="C92" s="92">
        <v>2.8</v>
      </c>
      <c r="D92" s="92">
        <v>4</v>
      </c>
      <c r="E92" s="92">
        <v>1.3</v>
      </c>
      <c r="F92" s="92" t="s">
        <v>26</v>
      </c>
      <c r="G92" s="92" t="str">
        <f>IF([1]!DataIris[[#This Row],[Largo de sépalo]]&lt;=5.5,"CORTO",IF([1]!DataIris[[#This Row],[Largo de sépalo]]&lt;=6.7,"MEDIANO","LARGO"))</f>
        <v>MEDIANO</v>
      </c>
      <c r="H92" s="92" t="str">
        <f>IF([1]!DataIris[[#This Row],[Ancho de sépalo]]&lt;=3.2,"ESTRECHO","ANCHO")</f>
        <v>ESTRECHO</v>
      </c>
      <c r="I92" s="92" t="str">
        <f>IF([1]!DataIris[[#This Row],[Largo de pétalo]]&lt;=3,"CORTO",IF([1]!DataIris[[#This Row],[Largo de pétalo]]&lt;=5,"MEDIANO","LARGO"))</f>
        <v>MEDIANO</v>
      </c>
      <c r="J92" s="92" t="str">
        <f>IF([1]!DataIris[[#This Row],[Ancho de pétalo]]&lt;=1.4,"ESTRECHO","ANCHO")</f>
        <v>ESTRECHO</v>
      </c>
      <c r="K92" s="92" t="s">
        <v>27</v>
      </c>
    </row>
    <row r="93" spans="2:11">
      <c r="B93" s="92">
        <v>6.1</v>
      </c>
      <c r="C93" s="92">
        <v>3</v>
      </c>
      <c r="D93" s="92">
        <v>4.5999999999999996</v>
      </c>
      <c r="E93" s="92">
        <v>1.4</v>
      </c>
      <c r="F93" s="92" t="s">
        <v>26</v>
      </c>
      <c r="G93" s="92" t="str">
        <f>IF([1]!DataIris[[#This Row],[Largo de sépalo]]&lt;=5.5,"CORTO",IF([1]!DataIris[[#This Row],[Largo de sépalo]]&lt;=6.7,"MEDIANO","LARGO"))</f>
        <v>MEDIANO</v>
      </c>
      <c r="H93" s="92" t="str">
        <f>IF([1]!DataIris[[#This Row],[Ancho de sépalo]]&lt;=3.2,"ESTRECHO","ANCHO")</f>
        <v>ESTRECHO</v>
      </c>
      <c r="I93" s="92" t="str">
        <f>IF([1]!DataIris[[#This Row],[Largo de pétalo]]&lt;=3,"CORTO",IF([1]!DataIris[[#This Row],[Largo de pétalo]]&lt;=5,"MEDIANO","LARGO"))</f>
        <v>MEDIANO</v>
      </c>
      <c r="J93" s="92" t="str">
        <f>IF([1]!DataIris[[#This Row],[Ancho de pétalo]]&lt;=1.4,"ESTRECHO","ANCHO")</f>
        <v>ESTRECHO</v>
      </c>
      <c r="K93" s="92" t="s">
        <v>25</v>
      </c>
    </row>
    <row r="94" spans="2:11">
      <c r="B94" s="92">
        <v>6.1</v>
      </c>
      <c r="C94" s="92">
        <v>2.9</v>
      </c>
      <c r="D94" s="92">
        <v>4.7</v>
      </c>
      <c r="E94" s="92">
        <v>1.4</v>
      </c>
      <c r="F94" s="92" t="s">
        <v>26</v>
      </c>
      <c r="G94" s="92" t="str">
        <f>IF([1]!DataIris[[#This Row],[Largo de sépalo]]&lt;=5.5,"CORTO",IF([1]!DataIris[[#This Row],[Largo de sépalo]]&lt;=6.7,"MEDIANO","LARGO"))</f>
        <v>MEDIANO</v>
      </c>
      <c r="H94" s="92" t="str">
        <f>IF([1]!DataIris[[#This Row],[Ancho de sépalo]]&lt;=3.2,"ESTRECHO","ANCHO")</f>
        <v>ESTRECHO</v>
      </c>
      <c r="I94" s="92" t="str">
        <f>IF([1]!DataIris[[#This Row],[Largo de pétalo]]&lt;=3,"CORTO",IF([1]!DataIris[[#This Row],[Largo de pétalo]]&lt;=5,"MEDIANO","LARGO"))</f>
        <v>MEDIANO</v>
      </c>
      <c r="J94" s="92" t="str">
        <f>IF([1]!DataIris[[#This Row],[Ancho de pétalo]]&lt;=1.4,"ESTRECHO","ANCHO")</f>
        <v>ESTRECHO</v>
      </c>
      <c r="K94" s="92" t="s">
        <v>25</v>
      </c>
    </row>
    <row r="95" spans="2:11">
      <c r="B95" s="92">
        <v>6.1</v>
      </c>
      <c r="C95" s="92">
        <v>2.6</v>
      </c>
      <c r="D95" s="92">
        <v>5.6</v>
      </c>
      <c r="E95" s="92">
        <v>1.4</v>
      </c>
      <c r="F95" s="92" t="s">
        <v>27</v>
      </c>
      <c r="G95" s="92" t="str">
        <f>IF([1]!DataIris[[#This Row],[Largo de sépalo]]&lt;=5.5,"CORTO",IF([1]!DataIris[[#This Row],[Largo de sépalo]]&lt;=6.7,"MEDIANO","LARGO"))</f>
        <v>MEDIANO</v>
      </c>
      <c r="H95" s="92" t="str">
        <f>IF([1]!DataIris[[#This Row],[Ancho de sépalo]]&lt;=3.2,"ESTRECHO","ANCHO")</f>
        <v>ESTRECHO</v>
      </c>
      <c r="I95" s="92" t="str">
        <f>IF([1]!DataIris[[#This Row],[Largo de pétalo]]&lt;=3,"CORTO",IF([1]!DataIris[[#This Row],[Largo de pétalo]]&lt;=5,"MEDIANO","LARGO"))</f>
        <v>LARGO</v>
      </c>
      <c r="J95" s="92" t="str">
        <f>IF([1]!DataIris[[#This Row],[Ancho de pétalo]]&lt;=1.4,"ESTRECHO","ANCHO")</f>
        <v>ESTRECHO</v>
      </c>
      <c r="K95" s="92" t="s">
        <v>25</v>
      </c>
    </row>
    <row r="96" spans="2:11">
      <c r="B96" s="92">
        <v>6.1</v>
      </c>
      <c r="C96" s="92">
        <v>3</v>
      </c>
      <c r="D96" s="92">
        <v>4.9000000000000004</v>
      </c>
      <c r="E96" s="92">
        <v>1.8</v>
      </c>
      <c r="F96" s="92" t="s">
        <v>27</v>
      </c>
      <c r="G96" s="92" t="str">
        <f>IF([1]!DataIris[[#This Row],[Largo de sépalo]]&lt;=5.5,"CORTO",IF([1]!DataIris[[#This Row],[Largo de sépalo]]&lt;=6.7,"MEDIANO","LARGO"))</f>
        <v>MEDIANO</v>
      </c>
      <c r="H96" s="92" t="str">
        <f>IF([1]!DataIris[[#This Row],[Ancho de sépalo]]&lt;=3.2,"ESTRECHO","ANCHO")</f>
        <v>ESTRECHO</v>
      </c>
      <c r="I96" s="92" t="str">
        <f>IF([1]!DataIris[[#This Row],[Largo de pétalo]]&lt;=3,"CORTO",IF([1]!DataIris[[#This Row],[Largo de pétalo]]&lt;=5,"MEDIANO","LARGO"))</f>
        <v>MEDIANO</v>
      </c>
      <c r="J96" s="92" t="str">
        <f>IF([1]!DataIris[[#This Row],[Ancho de pétalo]]&lt;=1.4,"ESTRECHO","ANCHO")</f>
        <v>ANCHO</v>
      </c>
      <c r="K96" s="92" t="s">
        <v>25</v>
      </c>
    </row>
    <row r="97" spans="2:11">
      <c r="B97" s="92">
        <v>6.2</v>
      </c>
      <c r="C97" s="92">
        <v>2.9</v>
      </c>
      <c r="D97" s="92">
        <v>4.3</v>
      </c>
      <c r="E97" s="92">
        <v>1.3</v>
      </c>
      <c r="F97" s="92" t="s">
        <v>26</v>
      </c>
      <c r="G97" s="92" t="str">
        <f>IF([1]!DataIris[[#This Row],[Largo de sépalo]]&lt;=5.5,"CORTO",IF([1]!DataIris[[#This Row],[Largo de sépalo]]&lt;=6.7,"MEDIANO","LARGO"))</f>
        <v>MEDIANO</v>
      </c>
      <c r="H97" s="92" t="str">
        <f>IF([1]!DataIris[[#This Row],[Ancho de sépalo]]&lt;=3.2,"ESTRECHO","ANCHO")</f>
        <v>ESTRECHO</v>
      </c>
      <c r="I97" s="92" t="str">
        <f>IF([1]!DataIris[[#This Row],[Largo de pétalo]]&lt;=3,"CORTO",IF([1]!DataIris[[#This Row],[Largo de pétalo]]&lt;=5,"MEDIANO","LARGO"))</f>
        <v>MEDIANO</v>
      </c>
      <c r="J97" s="92" t="str">
        <f>IF([1]!DataIris[[#This Row],[Ancho de pétalo]]&lt;=1.4,"ESTRECHO","ANCHO")</f>
        <v>ESTRECHO</v>
      </c>
      <c r="K97" s="92" t="s">
        <v>25</v>
      </c>
    </row>
    <row r="98" spans="2:11">
      <c r="B98" s="92">
        <v>6.2</v>
      </c>
      <c r="C98" s="92">
        <v>2.2000000000000002</v>
      </c>
      <c r="D98" s="92">
        <v>4.5</v>
      </c>
      <c r="E98" s="92">
        <v>1.5</v>
      </c>
      <c r="F98" s="92" t="s">
        <v>26</v>
      </c>
      <c r="G98" s="92" t="str">
        <f>IF([1]!DataIris[[#This Row],[Largo de sépalo]]&lt;=5.5,"CORTO",IF([1]!DataIris[[#This Row],[Largo de sépalo]]&lt;=6.7,"MEDIANO","LARGO"))</f>
        <v>MEDIANO</v>
      </c>
      <c r="H98" s="92" t="str">
        <f>IF([1]!DataIris[[#This Row],[Ancho de sépalo]]&lt;=3.2,"ESTRECHO","ANCHO")</f>
        <v>ESTRECHO</v>
      </c>
      <c r="I98" s="92" t="str">
        <f>IF([1]!DataIris[[#This Row],[Largo de pétalo]]&lt;=3,"CORTO",IF([1]!DataIris[[#This Row],[Largo de pétalo]]&lt;=5,"MEDIANO","LARGO"))</f>
        <v>MEDIANO</v>
      </c>
      <c r="J98" s="92" t="str">
        <f>IF([1]!DataIris[[#This Row],[Ancho de pétalo]]&lt;=1.4,"ESTRECHO","ANCHO")</f>
        <v>ANCHO</v>
      </c>
      <c r="K98" s="92" t="s">
        <v>25</v>
      </c>
    </row>
    <row r="99" spans="2:11">
      <c r="B99" s="92">
        <v>6.2</v>
      </c>
      <c r="C99" s="92">
        <v>2.8</v>
      </c>
      <c r="D99" s="92">
        <v>4.8</v>
      </c>
      <c r="E99" s="92">
        <v>1.8</v>
      </c>
      <c r="F99" s="92" t="s">
        <v>27</v>
      </c>
      <c r="G99" s="92" t="str">
        <f>IF([1]!DataIris[[#This Row],[Largo de sépalo]]&lt;=5.5,"CORTO",IF([1]!DataIris[[#This Row],[Largo de sépalo]]&lt;=6.7,"MEDIANO","LARGO"))</f>
        <v>MEDIANO</v>
      </c>
      <c r="H99" s="92" t="str">
        <f>IF([1]!DataIris[[#This Row],[Ancho de sépalo]]&lt;=3.2,"ESTRECHO","ANCHO")</f>
        <v>ESTRECHO</v>
      </c>
      <c r="I99" s="92" t="str">
        <f>IF([1]!DataIris[[#This Row],[Largo de pétalo]]&lt;=3,"CORTO",IF([1]!DataIris[[#This Row],[Largo de pétalo]]&lt;=5,"MEDIANO","LARGO"))</f>
        <v>MEDIANO</v>
      </c>
      <c r="J99" s="92" t="str">
        <f>IF([1]!DataIris[[#This Row],[Ancho de pétalo]]&lt;=1.4,"ESTRECHO","ANCHO")</f>
        <v>ANCHO</v>
      </c>
      <c r="K99" s="92" t="s">
        <v>25</v>
      </c>
    </row>
    <row r="100" spans="2:11">
      <c r="B100" s="92">
        <v>6.2</v>
      </c>
      <c r="C100" s="92">
        <v>3.4</v>
      </c>
      <c r="D100" s="92">
        <v>5.4</v>
      </c>
      <c r="E100" s="92">
        <v>2.2999999999999998</v>
      </c>
      <c r="F100" s="92" t="s">
        <v>27</v>
      </c>
      <c r="G100" s="92" t="str">
        <f>IF([1]!DataIris[[#This Row],[Largo de sépalo]]&lt;=5.5,"CORTO",IF([1]!DataIris[[#This Row],[Largo de sépalo]]&lt;=6.7,"MEDIANO","LARGO"))</f>
        <v>MEDIANO</v>
      </c>
      <c r="H100" s="92" t="str">
        <f>IF([1]!DataIris[[#This Row],[Ancho de sépalo]]&lt;=3.2,"ESTRECHO","ANCHO")</f>
        <v>ANCHO</v>
      </c>
      <c r="I100" s="92" t="str">
        <f>IF([1]!DataIris[[#This Row],[Largo de pétalo]]&lt;=3,"CORTO",IF([1]!DataIris[[#This Row],[Largo de pétalo]]&lt;=5,"MEDIANO","LARGO"))</f>
        <v>LARGO</v>
      </c>
      <c r="J100" s="92" t="str">
        <f>IF([1]!DataIris[[#This Row],[Ancho de pétalo]]&lt;=1.4,"ESTRECHO","ANCHO")</f>
        <v>ANCHO</v>
      </c>
      <c r="K100" s="92" t="s">
        <v>25</v>
      </c>
    </row>
    <row r="101" spans="2:11">
      <c r="B101" s="92">
        <v>6.3</v>
      </c>
      <c r="C101" s="92">
        <v>2.2999999999999998</v>
      </c>
      <c r="D101" s="92">
        <v>4.4000000000000004</v>
      </c>
      <c r="E101" s="92">
        <v>1.3</v>
      </c>
      <c r="F101" s="92" t="s">
        <v>26</v>
      </c>
      <c r="G101" s="92" t="str">
        <f>IF([1]!DataIris[[#This Row],[Largo de sépalo]]&lt;=5.5,"CORTO",IF([1]!DataIris[[#This Row],[Largo de sépalo]]&lt;=6.7,"MEDIANO","LARGO"))</f>
        <v>MEDIANO</v>
      </c>
      <c r="H101" s="92" t="str">
        <f>IF([1]!DataIris[[#This Row],[Ancho de sépalo]]&lt;=3.2,"ESTRECHO","ANCHO")</f>
        <v>ESTRECHO</v>
      </c>
      <c r="I101" s="92" t="str">
        <f>IF([1]!DataIris[[#This Row],[Largo de pétalo]]&lt;=3,"CORTO",IF([1]!DataIris[[#This Row],[Largo de pétalo]]&lt;=5,"MEDIANO","LARGO"))</f>
        <v>MEDIANO</v>
      </c>
      <c r="J101" s="92" t="str">
        <f>IF([1]!DataIris[[#This Row],[Ancho de pétalo]]&lt;=1.4,"ESTRECHO","ANCHO")</f>
        <v>ESTRECHO</v>
      </c>
      <c r="K101" s="92" t="s">
        <v>25</v>
      </c>
    </row>
    <row r="102" spans="2:11">
      <c r="B102" s="92">
        <v>6.3</v>
      </c>
      <c r="C102" s="92">
        <v>2.5</v>
      </c>
      <c r="D102" s="92">
        <v>4.9000000000000004</v>
      </c>
      <c r="E102" s="92">
        <v>1.5</v>
      </c>
      <c r="F102" s="92" t="s">
        <v>26</v>
      </c>
      <c r="G102" s="92" t="str">
        <f>IF([1]!DataIris[[#This Row],[Largo de sépalo]]&lt;=5.5,"CORTO",IF([1]!DataIris[[#This Row],[Largo de sépalo]]&lt;=6.7,"MEDIANO","LARGO"))</f>
        <v>MEDIANO</v>
      </c>
      <c r="H102" s="92" t="str">
        <f>IF([1]!DataIris[[#This Row],[Ancho de sépalo]]&lt;=3.2,"ESTRECHO","ANCHO")</f>
        <v>ESTRECHO</v>
      </c>
      <c r="I102" s="92" t="str">
        <f>IF([1]!DataIris[[#This Row],[Largo de pétalo]]&lt;=3,"CORTO",IF([1]!DataIris[[#This Row],[Largo de pétalo]]&lt;=5,"MEDIANO","LARGO"))</f>
        <v>MEDIANO</v>
      </c>
      <c r="J102" s="92" t="str">
        <f>IF([1]!DataIris[[#This Row],[Ancho de pétalo]]&lt;=1.4,"ESTRECHO","ANCHO")</f>
        <v>ANCHO</v>
      </c>
      <c r="K102" s="92" t="s">
        <v>25</v>
      </c>
    </row>
    <row r="103" spans="2:11">
      <c r="B103" s="92">
        <v>6.3</v>
      </c>
      <c r="C103" s="92">
        <v>2.8</v>
      </c>
      <c r="D103" s="92">
        <v>5.0999999999999996</v>
      </c>
      <c r="E103" s="92">
        <v>1.5</v>
      </c>
      <c r="F103" s="92" t="s">
        <v>27</v>
      </c>
      <c r="G103" s="92" t="str">
        <f>IF([1]!DataIris[[#This Row],[Largo de sépalo]]&lt;=5.5,"CORTO",IF([1]!DataIris[[#This Row],[Largo de sépalo]]&lt;=6.7,"MEDIANO","LARGO"))</f>
        <v>MEDIANO</v>
      </c>
      <c r="H103" s="92" t="str">
        <f>IF([1]!DataIris[[#This Row],[Ancho de sépalo]]&lt;=3.2,"ESTRECHO","ANCHO")</f>
        <v>ESTRECHO</v>
      </c>
      <c r="I103" s="92" t="str">
        <f>IF([1]!DataIris[[#This Row],[Largo de pétalo]]&lt;=3,"CORTO",IF([1]!DataIris[[#This Row],[Largo de pétalo]]&lt;=5,"MEDIANO","LARGO"))</f>
        <v>LARGO</v>
      </c>
      <c r="J103" s="92" t="str">
        <f>IF([1]!DataIris[[#This Row],[Ancho de pétalo]]&lt;=1.4,"ESTRECHO","ANCHO")</f>
        <v>ANCHO</v>
      </c>
      <c r="K103" s="92" t="s">
        <v>25</v>
      </c>
    </row>
    <row r="104" spans="2:11">
      <c r="B104" s="92">
        <v>6.3</v>
      </c>
      <c r="C104" s="92">
        <v>3.3</v>
      </c>
      <c r="D104" s="92">
        <v>4.7</v>
      </c>
      <c r="E104" s="92">
        <v>1.6</v>
      </c>
      <c r="F104" s="92" t="s">
        <v>26</v>
      </c>
      <c r="G104" s="92" t="str">
        <f>IF([1]!DataIris[[#This Row],[Largo de sépalo]]&lt;=5.5,"CORTO",IF([1]!DataIris[[#This Row],[Largo de sépalo]]&lt;=6.7,"MEDIANO","LARGO"))</f>
        <v>MEDIANO</v>
      </c>
      <c r="H104" s="92" t="str">
        <f>IF([1]!DataIris[[#This Row],[Ancho de sépalo]]&lt;=3.2,"ESTRECHO","ANCHO")</f>
        <v>ANCHO</v>
      </c>
      <c r="I104" s="92" t="str">
        <f>IF([1]!DataIris[[#This Row],[Largo de pétalo]]&lt;=3,"CORTO",IF([1]!DataIris[[#This Row],[Largo de pétalo]]&lt;=5,"MEDIANO","LARGO"))</f>
        <v>MEDIANO</v>
      </c>
      <c r="J104" s="92" t="str">
        <f>IF([1]!DataIris[[#This Row],[Ancho de pétalo]]&lt;=1.4,"ESTRECHO","ANCHO")</f>
        <v>ANCHO</v>
      </c>
      <c r="K104" s="92" t="s">
        <v>25</v>
      </c>
    </row>
    <row r="105" spans="2:11">
      <c r="B105" s="92">
        <v>6.3</v>
      </c>
      <c r="C105" s="92">
        <v>2.7</v>
      </c>
      <c r="D105" s="92">
        <v>4.9000000000000004</v>
      </c>
      <c r="E105" s="92">
        <v>1.8</v>
      </c>
      <c r="F105" s="92" t="s">
        <v>27</v>
      </c>
      <c r="G105" s="92" t="str">
        <f>IF([1]!DataIris[[#This Row],[Largo de sépalo]]&lt;=5.5,"CORTO",IF([1]!DataIris[[#This Row],[Largo de sépalo]]&lt;=6.7,"MEDIANO","LARGO"))</f>
        <v>MEDIANO</v>
      </c>
      <c r="H105" s="92" t="str">
        <f>IF([1]!DataIris[[#This Row],[Ancho de sépalo]]&lt;=3.2,"ESTRECHO","ANCHO")</f>
        <v>ESTRECHO</v>
      </c>
      <c r="I105" s="92" t="str">
        <f>IF([1]!DataIris[[#This Row],[Largo de pétalo]]&lt;=3,"CORTO",IF([1]!DataIris[[#This Row],[Largo de pétalo]]&lt;=5,"MEDIANO","LARGO"))</f>
        <v>MEDIANO</v>
      </c>
      <c r="J105" s="92" t="str">
        <f>IF([1]!DataIris[[#This Row],[Ancho de pétalo]]&lt;=1.4,"ESTRECHO","ANCHO")</f>
        <v>ANCHO</v>
      </c>
      <c r="K105" s="92" t="s">
        <v>25</v>
      </c>
    </row>
    <row r="106" spans="2:11">
      <c r="B106" s="92">
        <v>6.3</v>
      </c>
      <c r="C106" s="92">
        <v>2.9</v>
      </c>
      <c r="D106" s="92">
        <v>5.6</v>
      </c>
      <c r="E106" s="92">
        <v>1.8</v>
      </c>
      <c r="F106" s="92" t="s">
        <v>27</v>
      </c>
      <c r="G106" s="92" t="str">
        <f>IF([1]!DataIris[[#This Row],[Largo de sépalo]]&lt;=5.5,"CORTO",IF([1]!DataIris[[#This Row],[Largo de sépalo]]&lt;=6.7,"MEDIANO","LARGO"))</f>
        <v>MEDIANO</v>
      </c>
      <c r="H106" s="92" t="str">
        <f>IF([1]!DataIris[[#This Row],[Ancho de sépalo]]&lt;=3.2,"ESTRECHO","ANCHO")</f>
        <v>ESTRECHO</v>
      </c>
      <c r="I106" s="92" t="str">
        <f>IF([1]!DataIris[[#This Row],[Largo de pétalo]]&lt;=3,"CORTO",IF([1]!DataIris[[#This Row],[Largo de pétalo]]&lt;=5,"MEDIANO","LARGO"))</f>
        <v>LARGO</v>
      </c>
      <c r="J106" s="92" t="str">
        <f>IF([1]!DataIris[[#This Row],[Ancho de pétalo]]&lt;=1.4,"ESTRECHO","ANCHO")</f>
        <v>ANCHO</v>
      </c>
      <c r="K106" s="92" t="s">
        <v>25</v>
      </c>
    </row>
    <row r="107" spans="2:11">
      <c r="B107" s="92">
        <v>6.3</v>
      </c>
      <c r="C107" s="92">
        <v>2.5</v>
      </c>
      <c r="D107" s="92">
        <v>5</v>
      </c>
      <c r="E107" s="92">
        <v>1.9</v>
      </c>
      <c r="F107" s="92" t="s">
        <v>27</v>
      </c>
      <c r="G107" s="92" t="str">
        <f>IF([1]!DataIris[[#This Row],[Largo de sépalo]]&lt;=5.5,"CORTO",IF([1]!DataIris[[#This Row],[Largo de sépalo]]&lt;=6.7,"MEDIANO","LARGO"))</f>
        <v>MEDIANO</v>
      </c>
      <c r="H107" s="92" t="str">
        <f>IF([1]!DataIris[[#This Row],[Ancho de sépalo]]&lt;=3.2,"ESTRECHO","ANCHO")</f>
        <v>ESTRECHO</v>
      </c>
      <c r="I107" s="92" t="str">
        <f>IF([1]!DataIris[[#This Row],[Largo de pétalo]]&lt;=3,"CORTO",IF([1]!DataIris[[#This Row],[Largo de pétalo]]&lt;=5,"MEDIANO","LARGO"))</f>
        <v>MEDIANO</v>
      </c>
      <c r="J107" s="92" t="str">
        <f>IF([1]!DataIris[[#This Row],[Ancho de pétalo]]&lt;=1.4,"ESTRECHO","ANCHO")</f>
        <v>ANCHO</v>
      </c>
      <c r="K107" s="92" t="s">
        <v>25</v>
      </c>
    </row>
    <row r="108" spans="2:11">
      <c r="B108" s="92">
        <v>6.3</v>
      </c>
      <c r="C108" s="92">
        <v>3.4</v>
      </c>
      <c r="D108" s="92">
        <v>5.6</v>
      </c>
      <c r="E108" s="92">
        <v>2.4</v>
      </c>
      <c r="F108" s="92" t="s">
        <v>27</v>
      </c>
      <c r="G108" s="92" t="str">
        <f>IF([1]!DataIris[[#This Row],[Largo de sépalo]]&lt;=5.5,"CORTO",IF([1]!DataIris[[#This Row],[Largo de sépalo]]&lt;=6.7,"MEDIANO","LARGO"))</f>
        <v>MEDIANO</v>
      </c>
      <c r="H108" s="92" t="str">
        <f>IF([1]!DataIris[[#This Row],[Ancho de sépalo]]&lt;=3.2,"ESTRECHO","ANCHO")</f>
        <v>ANCHO</v>
      </c>
      <c r="I108" s="92" t="str">
        <f>IF([1]!DataIris[[#This Row],[Largo de pétalo]]&lt;=3,"CORTO",IF([1]!DataIris[[#This Row],[Largo de pétalo]]&lt;=5,"MEDIANO","LARGO"))</f>
        <v>LARGO</v>
      </c>
      <c r="J108" s="92" t="str">
        <f>IF([1]!DataIris[[#This Row],[Ancho de pétalo]]&lt;=1.4,"ESTRECHO","ANCHO")</f>
        <v>ANCHO</v>
      </c>
      <c r="K108" s="92" t="s">
        <v>25</v>
      </c>
    </row>
    <row r="109" spans="2:11">
      <c r="B109" s="92">
        <v>6.3</v>
      </c>
      <c r="C109" s="92">
        <v>3.3</v>
      </c>
      <c r="D109" s="92">
        <v>6</v>
      </c>
      <c r="E109" s="92">
        <v>2.5</v>
      </c>
      <c r="F109" s="92" t="s">
        <v>27</v>
      </c>
      <c r="G109" s="92" t="str">
        <f>IF([1]!DataIris[[#This Row],[Largo de sépalo]]&lt;=5.5,"CORTO",IF([1]!DataIris[[#This Row],[Largo de sépalo]]&lt;=6.7,"MEDIANO","LARGO"))</f>
        <v>MEDIANO</v>
      </c>
      <c r="H109" s="92" t="str">
        <f>IF([1]!DataIris[[#This Row],[Ancho de sépalo]]&lt;=3.2,"ESTRECHO","ANCHO")</f>
        <v>ANCHO</v>
      </c>
      <c r="I109" s="92" t="str">
        <f>IF([1]!DataIris[[#This Row],[Largo de pétalo]]&lt;=3,"CORTO",IF([1]!DataIris[[#This Row],[Largo de pétalo]]&lt;=5,"MEDIANO","LARGO"))</f>
        <v>LARGO</v>
      </c>
      <c r="J109" s="92" t="str">
        <f>IF([1]!DataIris[[#This Row],[Ancho de pétalo]]&lt;=1.4,"ESTRECHO","ANCHO")</f>
        <v>ANCHO</v>
      </c>
      <c r="K109" s="92" t="s">
        <v>25</v>
      </c>
    </row>
    <row r="110" spans="2:11">
      <c r="B110" s="92">
        <v>6.4</v>
      </c>
      <c r="C110" s="92">
        <v>2.9</v>
      </c>
      <c r="D110" s="92">
        <v>4.3</v>
      </c>
      <c r="E110" s="92">
        <v>1.3</v>
      </c>
      <c r="F110" s="92" t="s">
        <v>26</v>
      </c>
      <c r="G110" s="92" t="str">
        <f>IF([1]!DataIris[[#This Row],[Largo de sépalo]]&lt;=5.5,"CORTO",IF([1]!DataIris[[#This Row],[Largo de sépalo]]&lt;=6.7,"MEDIANO","LARGO"))</f>
        <v>MEDIANO</v>
      </c>
      <c r="H110" s="92" t="str">
        <f>IF([1]!DataIris[[#This Row],[Ancho de sépalo]]&lt;=3.2,"ESTRECHO","ANCHO")</f>
        <v>ESTRECHO</v>
      </c>
      <c r="I110" s="92" t="str">
        <f>IF([1]!DataIris[[#This Row],[Largo de pétalo]]&lt;=3,"CORTO",IF([1]!DataIris[[#This Row],[Largo de pétalo]]&lt;=5,"MEDIANO","LARGO"))</f>
        <v>MEDIANO</v>
      </c>
      <c r="J110" s="92" t="str">
        <f>IF([1]!DataIris[[#This Row],[Ancho de pétalo]]&lt;=1.4,"ESTRECHO","ANCHO")</f>
        <v>ESTRECHO</v>
      </c>
      <c r="K110" s="92" t="s">
        <v>26</v>
      </c>
    </row>
    <row r="111" spans="2:11">
      <c r="B111" s="92">
        <v>6.4</v>
      </c>
      <c r="C111" s="92">
        <v>3.2</v>
      </c>
      <c r="D111" s="92">
        <v>4.5</v>
      </c>
      <c r="E111" s="92">
        <v>1.5</v>
      </c>
      <c r="F111" s="92" t="s">
        <v>26</v>
      </c>
      <c r="G111" s="92" t="str">
        <f>IF([1]!DataIris[[#This Row],[Largo de sépalo]]&lt;=5.5,"CORTO",IF([1]!DataIris[[#This Row],[Largo de sépalo]]&lt;=6.7,"MEDIANO","LARGO"))</f>
        <v>MEDIANO</v>
      </c>
      <c r="H111" s="92" t="str">
        <f>IF([1]!DataIris[[#This Row],[Ancho de sépalo]]&lt;=3.2,"ESTRECHO","ANCHO")</f>
        <v>ESTRECHO</v>
      </c>
      <c r="I111" s="92" t="str">
        <f>IF([1]!DataIris[[#This Row],[Largo de pétalo]]&lt;=3,"CORTO",IF([1]!DataIris[[#This Row],[Largo de pétalo]]&lt;=5,"MEDIANO","LARGO"))</f>
        <v>MEDIANO</v>
      </c>
      <c r="J111" s="92" t="str">
        <f>IF([1]!DataIris[[#This Row],[Ancho de pétalo]]&lt;=1.4,"ESTRECHO","ANCHO")</f>
        <v>ANCHO</v>
      </c>
      <c r="K111" s="92" t="s">
        <v>27</v>
      </c>
    </row>
    <row r="112" spans="2:11">
      <c r="B112" s="92">
        <v>6.4</v>
      </c>
      <c r="C112" s="92">
        <v>3.1</v>
      </c>
      <c r="D112" s="92">
        <v>5.5</v>
      </c>
      <c r="E112" s="92">
        <v>1.8</v>
      </c>
      <c r="F112" s="92" t="s">
        <v>27</v>
      </c>
      <c r="G112" s="92" t="str">
        <f>IF([1]!DataIris[[#This Row],[Largo de sépalo]]&lt;=5.5,"CORTO",IF([1]!DataIris[[#This Row],[Largo de sépalo]]&lt;=6.7,"MEDIANO","LARGO"))</f>
        <v>MEDIANO</v>
      </c>
      <c r="H112" s="92" t="str">
        <f>IF([1]!DataIris[[#This Row],[Ancho de sépalo]]&lt;=3.2,"ESTRECHO","ANCHO")</f>
        <v>ESTRECHO</v>
      </c>
      <c r="I112" s="92" t="str">
        <f>IF([1]!DataIris[[#This Row],[Largo de pétalo]]&lt;=3,"CORTO",IF([1]!DataIris[[#This Row],[Largo de pétalo]]&lt;=5,"MEDIANO","LARGO"))</f>
        <v>LARGO</v>
      </c>
      <c r="J112" s="92" t="str">
        <f>IF([1]!DataIris[[#This Row],[Ancho de pétalo]]&lt;=1.4,"ESTRECHO","ANCHO")</f>
        <v>ANCHO</v>
      </c>
      <c r="K112" s="92" t="s">
        <v>25</v>
      </c>
    </row>
    <row r="113" spans="2:11">
      <c r="B113" s="92">
        <v>6.4</v>
      </c>
      <c r="C113" s="92">
        <v>2.7</v>
      </c>
      <c r="D113" s="92">
        <v>5.3</v>
      </c>
      <c r="E113" s="92">
        <v>1.9</v>
      </c>
      <c r="F113" s="92" t="s">
        <v>27</v>
      </c>
      <c r="G113" s="92" t="str">
        <f>IF([1]!DataIris[[#This Row],[Largo de sépalo]]&lt;=5.5,"CORTO",IF([1]!DataIris[[#This Row],[Largo de sépalo]]&lt;=6.7,"MEDIANO","LARGO"))</f>
        <v>MEDIANO</v>
      </c>
      <c r="H113" s="92" t="str">
        <f>IF([1]!DataIris[[#This Row],[Ancho de sépalo]]&lt;=3.2,"ESTRECHO","ANCHO")</f>
        <v>ESTRECHO</v>
      </c>
      <c r="I113" s="92" t="str">
        <f>IF([1]!DataIris[[#This Row],[Largo de pétalo]]&lt;=3,"CORTO",IF([1]!DataIris[[#This Row],[Largo de pétalo]]&lt;=5,"MEDIANO","LARGO"))</f>
        <v>LARGO</v>
      </c>
      <c r="J113" s="92" t="str">
        <f>IF([1]!DataIris[[#This Row],[Ancho de pétalo]]&lt;=1.4,"ESTRECHO","ANCHO")</f>
        <v>ANCHO</v>
      </c>
      <c r="K113" s="92" t="s">
        <v>25</v>
      </c>
    </row>
    <row r="114" spans="2:11">
      <c r="B114" s="92">
        <v>6.4</v>
      </c>
      <c r="C114" s="92">
        <v>2.8</v>
      </c>
      <c r="D114" s="92">
        <v>5.6</v>
      </c>
      <c r="E114" s="92">
        <v>2.1</v>
      </c>
      <c r="F114" s="92" t="s">
        <v>27</v>
      </c>
      <c r="G114" s="92" t="str">
        <f>IF([1]!DataIris[[#This Row],[Largo de sépalo]]&lt;=5.5,"CORTO",IF([1]!DataIris[[#This Row],[Largo de sépalo]]&lt;=6.7,"MEDIANO","LARGO"))</f>
        <v>MEDIANO</v>
      </c>
      <c r="H114" s="92" t="str">
        <f>IF([1]!DataIris[[#This Row],[Ancho de sépalo]]&lt;=3.2,"ESTRECHO","ANCHO")</f>
        <v>ESTRECHO</v>
      </c>
      <c r="I114" s="92" t="str">
        <f>IF([1]!DataIris[[#This Row],[Largo de pétalo]]&lt;=3,"CORTO",IF([1]!DataIris[[#This Row],[Largo de pétalo]]&lt;=5,"MEDIANO","LARGO"))</f>
        <v>LARGO</v>
      </c>
      <c r="J114" s="92" t="str">
        <f>IF([1]!DataIris[[#This Row],[Ancho de pétalo]]&lt;=1.4,"ESTRECHO","ANCHO")</f>
        <v>ANCHO</v>
      </c>
      <c r="K114" s="92" t="s">
        <v>25</v>
      </c>
    </row>
    <row r="115" spans="2:11">
      <c r="B115" s="92">
        <v>6.4</v>
      </c>
      <c r="C115" s="92">
        <v>2.8</v>
      </c>
      <c r="D115" s="92">
        <v>5.6</v>
      </c>
      <c r="E115" s="92">
        <v>2.2000000000000002</v>
      </c>
      <c r="F115" s="92" t="s">
        <v>27</v>
      </c>
      <c r="G115" s="92" t="str">
        <f>IF([1]!DataIris[[#This Row],[Largo de sépalo]]&lt;=5.5,"CORTO",IF([1]!DataIris[[#This Row],[Largo de sépalo]]&lt;=6.7,"MEDIANO","LARGO"))</f>
        <v>MEDIANO</v>
      </c>
      <c r="H115" s="92" t="str">
        <f>IF([1]!DataIris[[#This Row],[Ancho de sépalo]]&lt;=3.2,"ESTRECHO","ANCHO")</f>
        <v>ESTRECHO</v>
      </c>
      <c r="I115" s="92" t="str">
        <f>IF([1]!DataIris[[#This Row],[Largo de pétalo]]&lt;=3,"CORTO",IF([1]!DataIris[[#This Row],[Largo de pétalo]]&lt;=5,"MEDIANO","LARGO"))</f>
        <v>LARGO</v>
      </c>
      <c r="J115" s="92" t="str">
        <f>IF([1]!DataIris[[#This Row],[Ancho de pétalo]]&lt;=1.4,"ESTRECHO","ANCHO")</f>
        <v>ANCHO</v>
      </c>
      <c r="K115" s="92" t="s">
        <v>25</v>
      </c>
    </row>
    <row r="116" spans="2:11">
      <c r="B116" s="92">
        <v>6.4</v>
      </c>
      <c r="C116" s="92">
        <v>3.2</v>
      </c>
      <c r="D116" s="92">
        <v>5.3</v>
      </c>
      <c r="E116" s="92">
        <v>2.2999999999999998</v>
      </c>
      <c r="F116" s="92" t="s">
        <v>27</v>
      </c>
      <c r="G116" s="92" t="str">
        <f>IF([1]!DataIris[[#This Row],[Largo de sépalo]]&lt;=5.5,"CORTO",IF([1]!DataIris[[#This Row],[Largo de sépalo]]&lt;=6.7,"MEDIANO","LARGO"))</f>
        <v>MEDIANO</v>
      </c>
      <c r="H116" s="92" t="str">
        <f>IF([1]!DataIris[[#This Row],[Ancho de sépalo]]&lt;=3.2,"ESTRECHO","ANCHO")</f>
        <v>ESTRECHO</v>
      </c>
      <c r="I116" s="92" t="str">
        <f>IF([1]!DataIris[[#This Row],[Largo de pétalo]]&lt;=3,"CORTO",IF([1]!DataIris[[#This Row],[Largo de pétalo]]&lt;=5,"MEDIANO","LARGO"))</f>
        <v>LARGO</v>
      </c>
      <c r="J116" s="92" t="str">
        <f>IF([1]!DataIris[[#This Row],[Ancho de pétalo]]&lt;=1.4,"ESTRECHO","ANCHO")</f>
        <v>ANCHO</v>
      </c>
      <c r="K116" s="92" t="s">
        <v>25</v>
      </c>
    </row>
    <row r="117" spans="2:11">
      <c r="B117" s="92">
        <v>6.5</v>
      </c>
      <c r="C117" s="92">
        <v>2.8</v>
      </c>
      <c r="D117" s="92">
        <v>4.5999999999999996</v>
      </c>
      <c r="E117" s="92">
        <v>1.5</v>
      </c>
      <c r="F117" s="92" t="s">
        <v>26</v>
      </c>
      <c r="G117" s="92" t="str">
        <f>IF([1]!DataIris[[#This Row],[Largo de sépalo]]&lt;=5.5,"CORTO",IF([1]!DataIris[[#This Row],[Largo de sépalo]]&lt;=6.7,"MEDIANO","LARGO"))</f>
        <v>MEDIANO</v>
      </c>
      <c r="H117" s="92" t="str">
        <f>IF([1]!DataIris[[#This Row],[Ancho de sépalo]]&lt;=3.2,"ESTRECHO","ANCHO")</f>
        <v>ESTRECHO</v>
      </c>
      <c r="I117" s="92" t="str">
        <f>IF([1]!DataIris[[#This Row],[Largo de pétalo]]&lt;=3,"CORTO",IF([1]!DataIris[[#This Row],[Largo de pétalo]]&lt;=5,"MEDIANO","LARGO"))</f>
        <v>MEDIANO</v>
      </c>
      <c r="J117" s="92" t="str">
        <f>IF([1]!DataIris[[#This Row],[Ancho de pétalo]]&lt;=1.4,"ESTRECHO","ANCHO")</f>
        <v>ANCHO</v>
      </c>
      <c r="K117" s="92" t="s">
        <v>25</v>
      </c>
    </row>
    <row r="118" spans="2:11">
      <c r="B118" s="92">
        <v>6.5</v>
      </c>
      <c r="C118" s="92">
        <v>3</v>
      </c>
      <c r="D118" s="92">
        <v>5.5</v>
      </c>
      <c r="E118" s="92">
        <v>1.8</v>
      </c>
      <c r="F118" s="92" t="s">
        <v>27</v>
      </c>
      <c r="G118" s="92" t="str">
        <f>IF([1]!DataIris[[#This Row],[Largo de sépalo]]&lt;=5.5,"CORTO",IF([1]!DataIris[[#This Row],[Largo de sépalo]]&lt;=6.7,"MEDIANO","LARGO"))</f>
        <v>MEDIANO</v>
      </c>
      <c r="H118" s="92" t="str">
        <f>IF([1]!DataIris[[#This Row],[Ancho de sépalo]]&lt;=3.2,"ESTRECHO","ANCHO")</f>
        <v>ESTRECHO</v>
      </c>
      <c r="I118" s="92" t="str">
        <f>IF([1]!DataIris[[#This Row],[Largo de pétalo]]&lt;=3,"CORTO",IF([1]!DataIris[[#This Row],[Largo de pétalo]]&lt;=5,"MEDIANO","LARGO"))</f>
        <v>LARGO</v>
      </c>
      <c r="J118" s="92" t="str">
        <f>IF([1]!DataIris[[#This Row],[Ancho de pétalo]]&lt;=1.4,"ESTRECHO","ANCHO")</f>
        <v>ANCHO</v>
      </c>
      <c r="K118" s="92" t="s">
        <v>25</v>
      </c>
    </row>
    <row r="119" spans="2:11">
      <c r="B119" s="92">
        <v>6.5</v>
      </c>
      <c r="C119" s="92">
        <v>3.2</v>
      </c>
      <c r="D119" s="92">
        <v>5.0999999999999996</v>
      </c>
      <c r="E119" s="92">
        <v>2</v>
      </c>
      <c r="F119" s="92" t="s">
        <v>27</v>
      </c>
      <c r="G119" s="92" t="str">
        <f>IF([1]!DataIris[[#This Row],[Largo de sépalo]]&lt;=5.5,"CORTO",IF([1]!DataIris[[#This Row],[Largo de sépalo]]&lt;=6.7,"MEDIANO","LARGO"))</f>
        <v>MEDIANO</v>
      </c>
      <c r="H119" s="92" t="str">
        <f>IF([1]!DataIris[[#This Row],[Ancho de sépalo]]&lt;=3.2,"ESTRECHO","ANCHO")</f>
        <v>ESTRECHO</v>
      </c>
      <c r="I119" s="92" t="str">
        <f>IF([1]!DataIris[[#This Row],[Largo de pétalo]]&lt;=3,"CORTO",IF([1]!DataIris[[#This Row],[Largo de pétalo]]&lt;=5,"MEDIANO","LARGO"))</f>
        <v>LARGO</v>
      </c>
      <c r="J119" s="92" t="str">
        <f>IF([1]!DataIris[[#This Row],[Ancho de pétalo]]&lt;=1.4,"ESTRECHO","ANCHO")</f>
        <v>ANCHO</v>
      </c>
      <c r="K119" s="92" t="s">
        <v>25</v>
      </c>
    </row>
    <row r="120" spans="2:11">
      <c r="B120" s="92">
        <v>6.5</v>
      </c>
      <c r="C120" s="92">
        <v>3</v>
      </c>
      <c r="D120" s="92">
        <v>5.2</v>
      </c>
      <c r="E120" s="92">
        <v>2</v>
      </c>
      <c r="F120" s="92" t="s">
        <v>27</v>
      </c>
      <c r="G120" s="92" t="str">
        <f>IF([1]!DataIris[[#This Row],[Largo de sépalo]]&lt;=5.5,"CORTO",IF([1]!DataIris[[#This Row],[Largo de sépalo]]&lt;=6.7,"MEDIANO","LARGO"))</f>
        <v>MEDIANO</v>
      </c>
      <c r="H120" s="92" t="str">
        <f>IF([1]!DataIris[[#This Row],[Ancho de sépalo]]&lt;=3.2,"ESTRECHO","ANCHO")</f>
        <v>ESTRECHO</v>
      </c>
      <c r="I120" s="92" t="str">
        <f>IF([1]!DataIris[[#This Row],[Largo de pétalo]]&lt;=3,"CORTO",IF([1]!DataIris[[#This Row],[Largo de pétalo]]&lt;=5,"MEDIANO","LARGO"))</f>
        <v>LARGO</v>
      </c>
      <c r="J120" s="92" t="str">
        <f>IF([1]!DataIris[[#This Row],[Ancho de pétalo]]&lt;=1.4,"ESTRECHO","ANCHO")</f>
        <v>ANCHO</v>
      </c>
      <c r="K120" s="92" t="s">
        <v>26</v>
      </c>
    </row>
    <row r="121" spans="2:11">
      <c r="B121" s="92">
        <v>6.5</v>
      </c>
      <c r="C121" s="92">
        <v>3</v>
      </c>
      <c r="D121" s="92">
        <v>5.8</v>
      </c>
      <c r="E121" s="92">
        <v>2.2000000000000002</v>
      </c>
      <c r="F121" s="92" t="s">
        <v>27</v>
      </c>
      <c r="G121" s="92" t="str">
        <f>IF([1]!DataIris[[#This Row],[Largo de sépalo]]&lt;=5.5,"CORTO",IF([1]!DataIris[[#This Row],[Largo de sépalo]]&lt;=6.7,"MEDIANO","LARGO"))</f>
        <v>MEDIANO</v>
      </c>
      <c r="H121" s="92" t="str">
        <f>IF([1]!DataIris[[#This Row],[Ancho de sépalo]]&lt;=3.2,"ESTRECHO","ANCHO")</f>
        <v>ESTRECHO</v>
      </c>
      <c r="I121" s="92" t="str">
        <f>IF([1]!DataIris[[#This Row],[Largo de pétalo]]&lt;=3,"CORTO",IF([1]!DataIris[[#This Row],[Largo de pétalo]]&lt;=5,"MEDIANO","LARGO"))</f>
        <v>LARGO</v>
      </c>
      <c r="J121" s="92" t="str">
        <f>IF([1]!DataIris[[#This Row],[Ancho de pétalo]]&lt;=1.4,"ESTRECHO","ANCHO")</f>
        <v>ANCHO</v>
      </c>
      <c r="K121" s="92" t="s">
        <v>26</v>
      </c>
    </row>
    <row r="122" spans="2:11">
      <c r="B122" s="92">
        <v>6.6</v>
      </c>
      <c r="C122" s="92">
        <v>2.9</v>
      </c>
      <c r="D122" s="92">
        <v>4.5999999999999996</v>
      </c>
      <c r="E122" s="92">
        <v>1.3</v>
      </c>
      <c r="F122" s="92" t="s">
        <v>26</v>
      </c>
      <c r="G122" s="92" t="str">
        <f>IF([1]!DataIris[[#This Row],[Largo de sépalo]]&lt;=5.5,"CORTO",IF([1]!DataIris[[#This Row],[Largo de sépalo]]&lt;=6.7,"MEDIANO","LARGO"))</f>
        <v>MEDIANO</v>
      </c>
      <c r="H122" s="92" t="str">
        <f>IF([1]!DataIris[[#This Row],[Ancho de sépalo]]&lt;=3.2,"ESTRECHO","ANCHO")</f>
        <v>ESTRECHO</v>
      </c>
      <c r="I122" s="92" t="str">
        <f>IF([1]!DataIris[[#This Row],[Largo de pétalo]]&lt;=3,"CORTO",IF([1]!DataIris[[#This Row],[Largo de pétalo]]&lt;=5,"MEDIANO","LARGO"))</f>
        <v>MEDIANO</v>
      </c>
      <c r="J122" s="92" t="str">
        <f>IF([1]!DataIris[[#This Row],[Ancho de pétalo]]&lt;=1.4,"ESTRECHO","ANCHO")</f>
        <v>ESTRECHO</v>
      </c>
      <c r="K122" s="92" t="s">
        <v>25</v>
      </c>
    </row>
    <row r="123" spans="2:11">
      <c r="B123" s="92">
        <v>6.6</v>
      </c>
      <c r="C123" s="92">
        <v>3</v>
      </c>
      <c r="D123" s="92">
        <v>4.4000000000000004</v>
      </c>
      <c r="E123" s="92">
        <v>1.4</v>
      </c>
      <c r="F123" s="92" t="s">
        <v>26</v>
      </c>
      <c r="G123" s="92" t="str">
        <f>IF([1]!DataIris[[#This Row],[Largo de sépalo]]&lt;=5.5,"CORTO",IF([1]!DataIris[[#This Row],[Largo de sépalo]]&lt;=6.7,"MEDIANO","LARGO"))</f>
        <v>MEDIANO</v>
      </c>
      <c r="H123" s="92" t="str">
        <f>IF([1]!DataIris[[#This Row],[Ancho de sépalo]]&lt;=3.2,"ESTRECHO","ANCHO")</f>
        <v>ESTRECHO</v>
      </c>
      <c r="I123" s="92" t="str">
        <f>IF([1]!DataIris[[#This Row],[Largo de pétalo]]&lt;=3,"CORTO",IF([1]!DataIris[[#This Row],[Largo de pétalo]]&lt;=5,"MEDIANO","LARGO"))</f>
        <v>MEDIANO</v>
      </c>
      <c r="J123" s="92" t="str">
        <f>IF([1]!DataIris[[#This Row],[Ancho de pétalo]]&lt;=1.4,"ESTRECHO","ANCHO")</f>
        <v>ESTRECHO</v>
      </c>
      <c r="K123" s="92" t="s">
        <v>25</v>
      </c>
    </row>
    <row r="124" spans="2:11">
      <c r="B124" s="92">
        <v>6.7</v>
      </c>
      <c r="C124" s="92">
        <v>3.1</v>
      </c>
      <c r="D124" s="92">
        <v>4.4000000000000004</v>
      </c>
      <c r="E124" s="92">
        <v>1.4</v>
      </c>
      <c r="F124" s="92" t="s">
        <v>26</v>
      </c>
      <c r="G124" s="92" t="str">
        <f>IF([1]!DataIris[[#This Row],[Largo de sépalo]]&lt;=5.5,"CORTO",IF([1]!DataIris[[#This Row],[Largo de sépalo]]&lt;=6.7,"MEDIANO","LARGO"))</f>
        <v>MEDIANO</v>
      </c>
      <c r="H124" s="92" t="str">
        <f>IF([1]!DataIris[[#This Row],[Ancho de sépalo]]&lt;=3.2,"ESTRECHO","ANCHO")</f>
        <v>ESTRECHO</v>
      </c>
      <c r="I124" s="92" t="str">
        <f>IF([1]!DataIris[[#This Row],[Largo de pétalo]]&lt;=3,"CORTO",IF([1]!DataIris[[#This Row],[Largo de pétalo]]&lt;=5,"MEDIANO","LARGO"))</f>
        <v>MEDIANO</v>
      </c>
      <c r="J124" s="92" t="str">
        <f>IF([1]!DataIris[[#This Row],[Ancho de pétalo]]&lt;=1.4,"ESTRECHO","ANCHO")</f>
        <v>ESTRECHO</v>
      </c>
      <c r="K124" s="92" t="s">
        <v>25</v>
      </c>
    </row>
    <row r="125" spans="2:11">
      <c r="B125" s="92">
        <v>6.7</v>
      </c>
      <c r="C125" s="92">
        <v>3.1</v>
      </c>
      <c r="D125" s="92">
        <v>4.7</v>
      </c>
      <c r="E125" s="92">
        <v>1.5</v>
      </c>
      <c r="F125" s="92" t="s">
        <v>26</v>
      </c>
      <c r="G125" s="92" t="str">
        <f>IF([1]!DataIris[[#This Row],[Largo de sépalo]]&lt;=5.5,"CORTO",IF([1]!DataIris[[#This Row],[Largo de sépalo]]&lt;=6.7,"MEDIANO","LARGO"))</f>
        <v>MEDIANO</v>
      </c>
      <c r="H125" s="92" t="str">
        <f>IF([1]!DataIris[[#This Row],[Ancho de sépalo]]&lt;=3.2,"ESTRECHO","ANCHO")</f>
        <v>ESTRECHO</v>
      </c>
      <c r="I125" s="92" t="str">
        <f>IF([1]!DataIris[[#This Row],[Largo de pétalo]]&lt;=3,"CORTO",IF([1]!DataIris[[#This Row],[Largo de pétalo]]&lt;=5,"MEDIANO","LARGO"))</f>
        <v>MEDIANO</v>
      </c>
      <c r="J125" s="92" t="str">
        <f>IF([1]!DataIris[[#This Row],[Ancho de pétalo]]&lt;=1.4,"ESTRECHO","ANCHO")</f>
        <v>ANCHO</v>
      </c>
      <c r="K125" s="92" t="s">
        <v>25</v>
      </c>
    </row>
    <row r="126" spans="2:11">
      <c r="B126" s="92">
        <v>6.7</v>
      </c>
      <c r="C126" s="92">
        <v>3</v>
      </c>
      <c r="D126" s="92">
        <v>5</v>
      </c>
      <c r="E126" s="92">
        <v>1.7</v>
      </c>
      <c r="F126" s="92" t="s">
        <v>26</v>
      </c>
      <c r="G126" s="92" t="str">
        <f>IF([1]!DataIris[[#This Row],[Largo de sépalo]]&lt;=5.5,"CORTO",IF([1]!DataIris[[#This Row],[Largo de sépalo]]&lt;=6.7,"MEDIANO","LARGO"))</f>
        <v>MEDIANO</v>
      </c>
      <c r="H126" s="92" t="str">
        <f>IF([1]!DataIris[[#This Row],[Ancho de sépalo]]&lt;=3.2,"ESTRECHO","ANCHO")</f>
        <v>ESTRECHO</v>
      </c>
      <c r="I126" s="92" t="str">
        <f>IF([1]!DataIris[[#This Row],[Largo de pétalo]]&lt;=3,"CORTO",IF([1]!DataIris[[#This Row],[Largo de pétalo]]&lt;=5,"MEDIANO","LARGO"))</f>
        <v>MEDIANO</v>
      </c>
      <c r="J126" s="92" t="str">
        <f>IF([1]!DataIris[[#This Row],[Ancho de pétalo]]&lt;=1.4,"ESTRECHO","ANCHO")</f>
        <v>ANCHO</v>
      </c>
      <c r="K126" s="92" t="s">
        <v>25</v>
      </c>
    </row>
    <row r="127" spans="2:11">
      <c r="B127" s="92">
        <v>6.7</v>
      </c>
      <c r="C127" s="92">
        <v>2.5</v>
      </c>
      <c r="D127" s="92">
        <v>5.8</v>
      </c>
      <c r="E127" s="92">
        <v>1.8</v>
      </c>
      <c r="F127" s="92" t="s">
        <v>27</v>
      </c>
      <c r="G127" s="92" t="str">
        <f>IF([1]!DataIris[[#This Row],[Largo de sépalo]]&lt;=5.5,"CORTO",IF([1]!DataIris[[#This Row],[Largo de sépalo]]&lt;=6.7,"MEDIANO","LARGO"))</f>
        <v>MEDIANO</v>
      </c>
      <c r="H127" s="92" t="str">
        <f>IF([1]!DataIris[[#This Row],[Ancho de sépalo]]&lt;=3.2,"ESTRECHO","ANCHO")</f>
        <v>ESTRECHO</v>
      </c>
      <c r="I127" s="92" t="str">
        <f>IF([1]!DataIris[[#This Row],[Largo de pétalo]]&lt;=3,"CORTO",IF([1]!DataIris[[#This Row],[Largo de pétalo]]&lt;=5,"MEDIANO","LARGO"))</f>
        <v>LARGO</v>
      </c>
      <c r="J127" s="92" t="str">
        <f>IF([1]!DataIris[[#This Row],[Ancho de pétalo]]&lt;=1.4,"ESTRECHO","ANCHO")</f>
        <v>ANCHO</v>
      </c>
      <c r="K127" s="92" t="s">
        <v>25</v>
      </c>
    </row>
    <row r="128" spans="2:11">
      <c r="B128" s="92">
        <v>6.7</v>
      </c>
      <c r="C128" s="92">
        <v>3.3</v>
      </c>
      <c r="D128" s="92">
        <v>5.7</v>
      </c>
      <c r="E128" s="92">
        <v>2.1</v>
      </c>
      <c r="F128" s="92" t="s">
        <v>27</v>
      </c>
      <c r="G128" s="92" t="str">
        <f>IF([1]!DataIris[[#This Row],[Largo de sépalo]]&lt;=5.5,"CORTO",IF([1]!DataIris[[#This Row],[Largo de sépalo]]&lt;=6.7,"MEDIANO","LARGO"))</f>
        <v>MEDIANO</v>
      </c>
      <c r="H128" s="92" t="str">
        <f>IF([1]!DataIris[[#This Row],[Ancho de sépalo]]&lt;=3.2,"ESTRECHO","ANCHO")</f>
        <v>ANCHO</v>
      </c>
      <c r="I128" s="92" t="str">
        <f>IF([1]!DataIris[[#This Row],[Largo de pétalo]]&lt;=3,"CORTO",IF([1]!DataIris[[#This Row],[Largo de pétalo]]&lt;=5,"MEDIANO","LARGO"))</f>
        <v>LARGO</v>
      </c>
      <c r="J128" s="92" t="str">
        <f>IF([1]!DataIris[[#This Row],[Ancho de pétalo]]&lt;=1.4,"ESTRECHO","ANCHO")</f>
        <v>ANCHO</v>
      </c>
      <c r="K128" s="92" t="s">
        <v>25</v>
      </c>
    </row>
    <row r="129" spans="2:11">
      <c r="B129" s="92">
        <v>6.7</v>
      </c>
      <c r="C129" s="92">
        <v>3</v>
      </c>
      <c r="D129" s="92">
        <v>5.2</v>
      </c>
      <c r="E129" s="92">
        <v>2.2999999999999998</v>
      </c>
      <c r="F129" s="92" t="s">
        <v>27</v>
      </c>
      <c r="G129" s="92" t="str">
        <f>IF([1]!DataIris[[#This Row],[Largo de sépalo]]&lt;=5.5,"CORTO",IF([1]!DataIris[[#This Row],[Largo de sépalo]]&lt;=6.7,"MEDIANO","LARGO"))</f>
        <v>MEDIANO</v>
      </c>
      <c r="H129" s="92" t="str">
        <f>IF([1]!DataIris[[#This Row],[Ancho de sépalo]]&lt;=3.2,"ESTRECHO","ANCHO")</f>
        <v>ESTRECHO</v>
      </c>
      <c r="I129" s="92" t="str">
        <f>IF([1]!DataIris[[#This Row],[Largo de pétalo]]&lt;=3,"CORTO",IF([1]!DataIris[[#This Row],[Largo de pétalo]]&lt;=5,"MEDIANO","LARGO"))</f>
        <v>LARGO</v>
      </c>
      <c r="J129" s="92" t="str">
        <f>IF([1]!DataIris[[#This Row],[Ancho de pétalo]]&lt;=1.4,"ESTRECHO","ANCHO")</f>
        <v>ANCHO</v>
      </c>
      <c r="K129" s="92" t="s">
        <v>25</v>
      </c>
    </row>
    <row r="130" spans="2:11">
      <c r="B130" s="92">
        <v>6.7</v>
      </c>
      <c r="C130" s="92">
        <v>3.1</v>
      </c>
      <c r="D130" s="92">
        <v>5.6</v>
      </c>
      <c r="E130" s="92">
        <v>2.4</v>
      </c>
      <c r="F130" s="92" t="s">
        <v>27</v>
      </c>
      <c r="G130" s="92" t="str">
        <f>IF([1]!DataIris[[#This Row],[Largo de sépalo]]&lt;=5.5,"CORTO",IF([1]!DataIris[[#This Row],[Largo de sépalo]]&lt;=6.7,"MEDIANO","LARGO"))</f>
        <v>MEDIANO</v>
      </c>
      <c r="H130" s="92" t="str">
        <f>IF([1]!DataIris[[#This Row],[Ancho de sépalo]]&lt;=3.2,"ESTRECHO","ANCHO")</f>
        <v>ESTRECHO</v>
      </c>
      <c r="I130" s="92" t="str">
        <f>IF([1]!DataIris[[#This Row],[Largo de pétalo]]&lt;=3,"CORTO",IF([1]!DataIris[[#This Row],[Largo de pétalo]]&lt;=5,"MEDIANO","LARGO"))</f>
        <v>LARGO</v>
      </c>
      <c r="J130" s="92" t="str">
        <f>IF([1]!DataIris[[#This Row],[Ancho de pétalo]]&lt;=1.4,"ESTRECHO","ANCHO")</f>
        <v>ANCHO</v>
      </c>
      <c r="K130" s="92" t="s">
        <v>25</v>
      </c>
    </row>
    <row r="131" spans="2:11">
      <c r="B131" s="92">
        <v>6.7</v>
      </c>
      <c r="C131" s="92">
        <v>3.3</v>
      </c>
      <c r="D131" s="92">
        <v>5.7</v>
      </c>
      <c r="E131" s="92">
        <v>2.5</v>
      </c>
      <c r="F131" s="92" t="s">
        <v>27</v>
      </c>
      <c r="G131" s="92" t="str">
        <f>IF([1]!DataIris[[#This Row],[Largo de sépalo]]&lt;=5.5,"CORTO",IF([1]!DataIris[[#This Row],[Largo de sépalo]]&lt;=6.7,"MEDIANO","LARGO"))</f>
        <v>MEDIANO</v>
      </c>
      <c r="H131" s="92" t="str">
        <f>IF([1]!DataIris[[#This Row],[Ancho de sépalo]]&lt;=3.2,"ESTRECHO","ANCHO")</f>
        <v>ANCHO</v>
      </c>
      <c r="I131" s="92" t="str">
        <f>IF([1]!DataIris[[#This Row],[Largo de pétalo]]&lt;=3,"CORTO",IF([1]!DataIris[[#This Row],[Largo de pétalo]]&lt;=5,"MEDIANO","LARGO"))</f>
        <v>LARGO</v>
      </c>
      <c r="J131" s="92" t="str">
        <f>IF([1]!DataIris[[#This Row],[Ancho de pétalo]]&lt;=1.4,"ESTRECHO","ANCHO")</f>
        <v>ANCHO</v>
      </c>
      <c r="K131" s="92" t="s">
        <v>26</v>
      </c>
    </row>
    <row r="132" spans="2:11">
      <c r="B132" s="92">
        <v>6.8</v>
      </c>
      <c r="C132" s="92">
        <v>2.8</v>
      </c>
      <c r="D132" s="92">
        <v>4.8</v>
      </c>
      <c r="E132" s="92">
        <v>1.4</v>
      </c>
      <c r="F132" s="92" t="s">
        <v>26</v>
      </c>
      <c r="G132" s="92" t="str">
        <f>IF([1]!DataIris[[#This Row],[Largo de sépalo]]&lt;=5.5,"CORTO",IF([1]!DataIris[[#This Row],[Largo de sépalo]]&lt;=6.7,"MEDIANO","LARGO"))</f>
        <v>LARGO</v>
      </c>
      <c r="H132" s="92" t="str">
        <f>IF([1]!DataIris[[#This Row],[Ancho de sépalo]]&lt;=3.2,"ESTRECHO","ANCHO")</f>
        <v>ESTRECHO</v>
      </c>
      <c r="I132" s="92" t="str">
        <f>IF([1]!DataIris[[#This Row],[Largo de pétalo]]&lt;=3,"CORTO",IF([1]!DataIris[[#This Row],[Largo de pétalo]]&lt;=5,"MEDIANO","LARGO"))</f>
        <v>MEDIANO</v>
      </c>
      <c r="J132" s="92" t="str">
        <f>IF([1]!DataIris[[#This Row],[Ancho de pétalo]]&lt;=1.4,"ESTRECHO","ANCHO")</f>
        <v>ESTRECHO</v>
      </c>
      <c r="K132" s="92" t="s">
        <v>25</v>
      </c>
    </row>
    <row r="133" spans="2:11">
      <c r="B133" s="92">
        <v>6.8</v>
      </c>
      <c r="C133" s="92">
        <v>3</v>
      </c>
      <c r="D133" s="92">
        <v>5.5</v>
      </c>
      <c r="E133" s="92">
        <v>2.1</v>
      </c>
      <c r="F133" s="92" t="s">
        <v>27</v>
      </c>
      <c r="G133" s="92" t="str">
        <f>IF([1]!DataIris[[#This Row],[Largo de sépalo]]&lt;=5.5,"CORTO",IF([1]!DataIris[[#This Row],[Largo de sépalo]]&lt;=6.7,"MEDIANO","LARGO"))</f>
        <v>LARGO</v>
      </c>
      <c r="H133" s="92" t="str">
        <f>IF([1]!DataIris[[#This Row],[Ancho de sépalo]]&lt;=3.2,"ESTRECHO","ANCHO")</f>
        <v>ESTRECHO</v>
      </c>
      <c r="I133" s="92" t="str">
        <f>IF([1]!DataIris[[#This Row],[Largo de pétalo]]&lt;=3,"CORTO",IF([1]!DataIris[[#This Row],[Largo de pétalo]]&lt;=5,"MEDIANO","LARGO"))</f>
        <v>LARGO</v>
      </c>
      <c r="J133" s="92" t="str">
        <f>IF([1]!DataIris[[#This Row],[Ancho de pétalo]]&lt;=1.4,"ESTRECHO","ANCHO")</f>
        <v>ANCHO</v>
      </c>
      <c r="K133" s="92" t="s">
        <v>25</v>
      </c>
    </row>
    <row r="134" spans="2:11">
      <c r="B134" s="92">
        <v>6.8</v>
      </c>
      <c r="C134" s="92">
        <v>3.2</v>
      </c>
      <c r="D134" s="92">
        <v>5.9</v>
      </c>
      <c r="E134" s="92">
        <v>2.2999999999999998</v>
      </c>
      <c r="F134" s="92" t="s">
        <v>27</v>
      </c>
      <c r="G134" s="92" t="str">
        <f>IF([1]!DataIris[[#This Row],[Largo de sépalo]]&lt;=5.5,"CORTO",IF([1]!DataIris[[#This Row],[Largo de sépalo]]&lt;=6.7,"MEDIANO","LARGO"))</f>
        <v>LARGO</v>
      </c>
      <c r="H134" s="92" t="str">
        <f>IF([1]!DataIris[[#This Row],[Ancho de sépalo]]&lt;=3.2,"ESTRECHO","ANCHO")</f>
        <v>ESTRECHO</v>
      </c>
      <c r="I134" s="92" t="str">
        <f>IF([1]!DataIris[[#This Row],[Largo de pétalo]]&lt;=3,"CORTO",IF([1]!DataIris[[#This Row],[Largo de pétalo]]&lt;=5,"MEDIANO","LARGO"))</f>
        <v>LARGO</v>
      </c>
      <c r="J134" s="92" t="str">
        <f>IF([1]!DataIris[[#This Row],[Ancho de pétalo]]&lt;=1.4,"ESTRECHO","ANCHO")</f>
        <v>ANCHO</v>
      </c>
      <c r="K134" s="92" t="s">
        <v>25</v>
      </c>
    </row>
    <row r="135" spans="2:11">
      <c r="B135" s="92">
        <v>6.9</v>
      </c>
      <c r="C135" s="92">
        <v>3.1</v>
      </c>
      <c r="D135" s="92">
        <v>4.9000000000000004</v>
      </c>
      <c r="E135" s="92">
        <v>1.5</v>
      </c>
      <c r="F135" s="92" t="s">
        <v>26</v>
      </c>
      <c r="G135" s="92" t="str">
        <f>IF([1]!DataIris[[#This Row],[Largo de sépalo]]&lt;=5.5,"CORTO",IF([1]!DataIris[[#This Row],[Largo de sépalo]]&lt;=6.7,"MEDIANO","LARGO"))</f>
        <v>LARGO</v>
      </c>
      <c r="H135" s="92" t="str">
        <f>IF([1]!DataIris[[#This Row],[Ancho de sépalo]]&lt;=3.2,"ESTRECHO","ANCHO")</f>
        <v>ESTRECHO</v>
      </c>
      <c r="I135" s="92" t="str">
        <f>IF([1]!DataIris[[#This Row],[Largo de pétalo]]&lt;=3,"CORTO",IF([1]!DataIris[[#This Row],[Largo de pétalo]]&lt;=5,"MEDIANO","LARGO"))</f>
        <v>MEDIANO</v>
      </c>
      <c r="J135" s="92" t="str">
        <f>IF([1]!DataIris[[#This Row],[Ancho de pétalo]]&lt;=1.4,"ESTRECHO","ANCHO")</f>
        <v>ANCHO</v>
      </c>
      <c r="K135" s="92" t="s">
        <v>25</v>
      </c>
    </row>
    <row r="136" spans="2:11">
      <c r="B136" s="92">
        <v>6.9</v>
      </c>
      <c r="C136" s="92">
        <v>3.1</v>
      </c>
      <c r="D136" s="92">
        <v>5.4</v>
      </c>
      <c r="E136" s="92">
        <v>2.1</v>
      </c>
      <c r="F136" s="92" t="s">
        <v>27</v>
      </c>
      <c r="G136" s="92" t="str">
        <f>IF([1]!DataIris[[#This Row],[Largo de sépalo]]&lt;=5.5,"CORTO",IF([1]!DataIris[[#This Row],[Largo de sépalo]]&lt;=6.7,"MEDIANO","LARGO"))</f>
        <v>LARGO</v>
      </c>
      <c r="H136" s="92" t="str">
        <f>IF([1]!DataIris[[#This Row],[Ancho de sépalo]]&lt;=3.2,"ESTRECHO","ANCHO")</f>
        <v>ESTRECHO</v>
      </c>
      <c r="I136" s="92" t="str">
        <f>IF([1]!DataIris[[#This Row],[Largo de pétalo]]&lt;=3,"CORTO",IF([1]!DataIris[[#This Row],[Largo de pétalo]]&lt;=5,"MEDIANO","LARGO"))</f>
        <v>LARGO</v>
      </c>
      <c r="J136" s="92" t="str">
        <f>IF([1]!DataIris[[#This Row],[Ancho de pétalo]]&lt;=1.4,"ESTRECHO","ANCHO")</f>
        <v>ANCHO</v>
      </c>
      <c r="K136" s="92" t="s">
        <v>26</v>
      </c>
    </row>
    <row r="137" spans="2:11">
      <c r="B137" s="92">
        <v>6.9</v>
      </c>
      <c r="C137" s="92">
        <v>3.1</v>
      </c>
      <c r="D137" s="92">
        <v>5.0999999999999996</v>
      </c>
      <c r="E137" s="92">
        <v>2.2999999999999998</v>
      </c>
      <c r="F137" s="92" t="s">
        <v>27</v>
      </c>
      <c r="G137" s="92" t="str">
        <f>IF([1]!DataIris[[#This Row],[Largo de sépalo]]&lt;=5.5,"CORTO",IF([1]!DataIris[[#This Row],[Largo de sépalo]]&lt;=6.7,"MEDIANO","LARGO"))</f>
        <v>LARGO</v>
      </c>
      <c r="H137" s="92" t="str">
        <f>IF([1]!DataIris[[#This Row],[Ancho de sépalo]]&lt;=3.2,"ESTRECHO","ANCHO")</f>
        <v>ESTRECHO</v>
      </c>
      <c r="I137" s="92" t="str">
        <f>IF([1]!DataIris[[#This Row],[Largo de pétalo]]&lt;=3,"CORTO",IF([1]!DataIris[[#This Row],[Largo de pétalo]]&lt;=5,"MEDIANO","LARGO"))</f>
        <v>LARGO</v>
      </c>
      <c r="J137" s="92" t="str">
        <f>IF([1]!DataIris[[#This Row],[Ancho de pétalo]]&lt;=1.4,"ESTRECHO","ANCHO")</f>
        <v>ANCHO</v>
      </c>
      <c r="K137" s="92" t="s">
        <v>25</v>
      </c>
    </row>
    <row r="138" spans="2:11">
      <c r="B138" s="92">
        <v>6.9</v>
      </c>
      <c r="C138" s="92">
        <v>3.2</v>
      </c>
      <c r="D138" s="92">
        <v>5.7</v>
      </c>
      <c r="E138" s="92">
        <v>2.2999999999999998</v>
      </c>
      <c r="F138" s="92" t="s">
        <v>27</v>
      </c>
      <c r="G138" s="92" t="str">
        <f>IF([1]!DataIris[[#This Row],[Largo de sépalo]]&lt;=5.5,"CORTO",IF([1]!DataIris[[#This Row],[Largo de sépalo]]&lt;=6.7,"MEDIANO","LARGO"))</f>
        <v>LARGO</v>
      </c>
      <c r="H138" s="92" t="str">
        <f>IF([1]!DataIris[[#This Row],[Ancho de sépalo]]&lt;=3.2,"ESTRECHO","ANCHO")</f>
        <v>ESTRECHO</v>
      </c>
      <c r="I138" s="92" t="str">
        <f>IF([1]!DataIris[[#This Row],[Largo de pétalo]]&lt;=3,"CORTO",IF([1]!DataIris[[#This Row],[Largo de pétalo]]&lt;=5,"MEDIANO","LARGO"))</f>
        <v>LARGO</v>
      </c>
      <c r="J138" s="92" t="str">
        <f>IF([1]!DataIris[[#This Row],[Ancho de pétalo]]&lt;=1.4,"ESTRECHO","ANCHO")</f>
        <v>ANCHO</v>
      </c>
      <c r="K138" s="92" t="s">
        <v>26</v>
      </c>
    </row>
    <row r="139" spans="2:11">
      <c r="B139" s="92">
        <v>7</v>
      </c>
      <c r="C139" s="92">
        <v>3.2</v>
      </c>
      <c r="D139" s="92">
        <v>4.7</v>
      </c>
      <c r="E139" s="92">
        <v>1.4</v>
      </c>
      <c r="F139" s="92" t="s">
        <v>26</v>
      </c>
      <c r="G139" s="92" t="str">
        <f>IF([1]!DataIris[[#This Row],[Largo de sépalo]]&lt;=5.5,"CORTO",IF([1]!DataIris[[#This Row],[Largo de sépalo]]&lt;=6.7,"MEDIANO","LARGO"))</f>
        <v>LARGO</v>
      </c>
      <c r="H139" s="92" t="str">
        <f>IF([1]!DataIris[[#This Row],[Ancho de sépalo]]&lt;=3.2,"ESTRECHO","ANCHO")</f>
        <v>ESTRECHO</v>
      </c>
      <c r="I139" s="92" t="str">
        <f>IF([1]!DataIris[[#This Row],[Largo de pétalo]]&lt;=3,"CORTO",IF([1]!DataIris[[#This Row],[Largo de pétalo]]&lt;=5,"MEDIANO","LARGO"))</f>
        <v>MEDIANO</v>
      </c>
      <c r="J139" s="92" t="str">
        <f>IF([1]!DataIris[[#This Row],[Ancho de pétalo]]&lt;=1.4,"ESTRECHO","ANCHO")</f>
        <v>ESTRECHO</v>
      </c>
      <c r="K139" s="92" t="s">
        <v>26</v>
      </c>
    </row>
    <row r="140" spans="2:11">
      <c r="B140" s="92">
        <v>7.1</v>
      </c>
      <c r="C140" s="92">
        <v>3</v>
      </c>
      <c r="D140" s="92">
        <v>5.9</v>
      </c>
      <c r="E140" s="92">
        <v>2.1</v>
      </c>
      <c r="F140" s="92" t="s">
        <v>27</v>
      </c>
      <c r="G140" s="92" t="str">
        <f>IF([1]!DataIris[[#This Row],[Largo de sépalo]]&lt;=5.5,"CORTO",IF([1]!DataIris[[#This Row],[Largo de sépalo]]&lt;=6.7,"MEDIANO","LARGO"))</f>
        <v>LARGO</v>
      </c>
      <c r="H140" s="92" t="str">
        <f>IF([1]!DataIris[[#This Row],[Ancho de sépalo]]&lt;=3.2,"ESTRECHO","ANCHO")</f>
        <v>ESTRECHO</v>
      </c>
      <c r="I140" s="92" t="str">
        <f>IF([1]!DataIris[[#This Row],[Largo de pétalo]]&lt;=3,"CORTO",IF([1]!DataIris[[#This Row],[Largo de pétalo]]&lt;=5,"MEDIANO","LARGO"))</f>
        <v>LARGO</v>
      </c>
      <c r="J140" s="92" t="str">
        <f>IF([1]!DataIris[[#This Row],[Ancho de pétalo]]&lt;=1.4,"ESTRECHO","ANCHO")</f>
        <v>ANCHO</v>
      </c>
      <c r="K140" s="92" t="s">
        <v>26</v>
      </c>
    </row>
    <row r="141" spans="2:11">
      <c r="B141" s="92">
        <v>7.2</v>
      </c>
      <c r="C141" s="92">
        <v>3</v>
      </c>
      <c r="D141" s="92">
        <v>5.8</v>
      </c>
      <c r="E141" s="92">
        <v>1.6</v>
      </c>
      <c r="F141" s="92" t="s">
        <v>27</v>
      </c>
      <c r="G141" s="92" t="str">
        <f>IF([1]!DataIris[[#This Row],[Largo de sépalo]]&lt;=5.5,"CORTO",IF([1]!DataIris[[#This Row],[Largo de sépalo]]&lt;=6.7,"MEDIANO","LARGO"))</f>
        <v>LARGO</v>
      </c>
      <c r="H141" s="92" t="str">
        <f>IF([1]!DataIris[[#This Row],[Ancho de sépalo]]&lt;=3.2,"ESTRECHO","ANCHO")</f>
        <v>ESTRECHO</v>
      </c>
      <c r="I141" s="92" t="str">
        <f>IF([1]!DataIris[[#This Row],[Largo de pétalo]]&lt;=3,"CORTO",IF([1]!DataIris[[#This Row],[Largo de pétalo]]&lt;=5,"MEDIANO","LARGO"))</f>
        <v>LARGO</v>
      </c>
      <c r="J141" s="92" t="str">
        <f>IF([1]!DataIris[[#This Row],[Ancho de pétalo]]&lt;=1.4,"ESTRECHO","ANCHO")</f>
        <v>ANCHO</v>
      </c>
      <c r="K141" s="92" t="s">
        <v>26</v>
      </c>
    </row>
    <row r="142" spans="2:11">
      <c r="B142" s="92">
        <v>7.2</v>
      </c>
      <c r="C142" s="92">
        <v>3.2</v>
      </c>
      <c r="D142" s="92">
        <v>6</v>
      </c>
      <c r="E142" s="92">
        <v>1.8</v>
      </c>
      <c r="F142" s="92" t="s">
        <v>27</v>
      </c>
      <c r="G142" s="92" t="str">
        <f>IF([1]!DataIris[[#This Row],[Largo de sépalo]]&lt;=5.5,"CORTO",IF([1]!DataIris[[#This Row],[Largo de sépalo]]&lt;=6.7,"MEDIANO","LARGO"))</f>
        <v>LARGO</v>
      </c>
      <c r="H142" s="92" t="str">
        <f>IF([1]!DataIris[[#This Row],[Ancho de sépalo]]&lt;=3.2,"ESTRECHO","ANCHO")</f>
        <v>ESTRECHO</v>
      </c>
      <c r="I142" s="92" t="str">
        <f>IF([1]!DataIris[[#This Row],[Largo de pétalo]]&lt;=3,"CORTO",IF([1]!DataIris[[#This Row],[Largo de pétalo]]&lt;=5,"MEDIANO","LARGO"))</f>
        <v>LARGO</v>
      </c>
      <c r="J142" s="92" t="str">
        <f>IF([1]!DataIris[[#This Row],[Ancho de pétalo]]&lt;=1.4,"ESTRECHO","ANCHO")</f>
        <v>ANCHO</v>
      </c>
      <c r="K142" s="92" t="s">
        <v>26</v>
      </c>
    </row>
    <row r="143" spans="2:11">
      <c r="B143" s="92">
        <v>7.2</v>
      </c>
      <c r="C143" s="92">
        <v>3.6</v>
      </c>
      <c r="D143" s="92">
        <v>6.1</v>
      </c>
      <c r="E143" s="92">
        <v>2.5</v>
      </c>
      <c r="F143" s="92" t="s">
        <v>27</v>
      </c>
      <c r="G143" s="92" t="str">
        <f>IF([1]!DataIris[[#This Row],[Largo de sépalo]]&lt;=5.5,"CORTO",IF([1]!DataIris[[#This Row],[Largo de sépalo]]&lt;=6.7,"MEDIANO","LARGO"))</f>
        <v>LARGO</v>
      </c>
      <c r="H143" s="92" t="str">
        <f>IF([1]!DataIris[[#This Row],[Ancho de sépalo]]&lt;=3.2,"ESTRECHO","ANCHO")</f>
        <v>ANCHO</v>
      </c>
      <c r="I143" s="92" t="str">
        <f>IF([1]!DataIris[[#This Row],[Largo de pétalo]]&lt;=3,"CORTO",IF([1]!DataIris[[#This Row],[Largo de pétalo]]&lt;=5,"MEDIANO","LARGO"))</f>
        <v>LARGO</v>
      </c>
      <c r="J143" s="92" t="str">
        <f>IF([1]!DataIris[[#This Row],[Ancho de pétalo]]&lt;=1.4,"ESTRECHO","ANCHO")</f>
        <v>ANCHO</v>
      </c>
      <c r="K143" s="92" t="s">
        <v>27</v>
      </c>
    </row>
    <row r="144" spans="2:11">
      <c r="B144" s="92">
        <v>7.3</v>
      </c>
      <c r="C144" s="92">
        <v>2.9</v>
      </c>
      <c r="D144" s="92">
        <v>6.3</v>
      </c>
      <c r="E144" s="92">
        <v>1.8</v>
      </c>
      <c r="F144" s="92" t="s">
        <v>27</v>
      </c>
      <c r="G144" s="92" t="str">
        <f>IF([1]!DataIris[[#This Row],[Largo de sépalo]]&lt;=5.5,"CORTO",IF([1]!DataIris[[#This Row],[Largo de sépalo]]&lt;=6.7,"MEDIANO","LARGO"))</f>
        <v>LARGO</v>
      </c>
      <c r="H144" s="92" t="str">
        <f>IF([1]!DataIris[[#This Row],[Ancho de sépalo]]&lt;=3.2,"ESTRECHO","ANCHO")</f>
        <v>ESTRECHO</v>
      </c>
      <c r="I144" s="92" t="str">
        <f>IF([1]!DataIris[[#This Row],[Largo de pétalo]]&lt;=3,"CORTO",IF([1]!DataIris[[#This Row],[Largo de pétalo]]&lt;=5,"MEDIANO","LARGO"))</f>
        <v>LARGO</v>
      </c>
      <c r="J144" s="92" t="str">
        <f>IF([1]!DataIris[[#This Row],[Ancho de pétalo]]&lt;=1.4,"ESTRECHO","ANCHO")</f>
        <v>ANCHO</v>
      </c>
      <c r="K144" s="92" t="s">
        <v>27</v>
      </c>
    </row>
    <row r="145" spans="2:30">
      <c r="B145" s="92">
        <v>7.4</v>
      </c>
      <c r="C145" s="92">
        <v>2.8</v>
      </c>
      <c r="D145" s="92">
        <v>6.1</v>
      </c>
      <c r="E145" s="92">
        <v>1.9</v>
      </c>
      <c r="F145" s="92" t="s">
        <v>27</v>
      </c>
      <c r="G145" s="92" t="str">
        <f>IF([1]!DataIris[[#This Row],[Largo de sépalo]]&lt;=5.5,"CORTO",IF([1]!DataIris[[#This Row],[Largo de sépalo]]&lt;=6.7,"MEDIANO","LARGO"))</f>
        <v>LARGO</v>
      </c>
      <c r="H145" s="92" t="str">
        <f>IF([1]!DataIris[[#This Row],[Ancho de sépalo]]&lt;=3.2,"ESTRECHO","ANCHO")</f>
        <v>ESTRECHO</v>
      </c>
      <c r="I145" s="92" t="str">
        <f>IF([1]!DataIris[[#This Row],[Largo de pétalo]]&lt;=3,"CORTO",IF([1]!DataIris[[#This Row],[Largo de pétalo]]&lt;=5,"MEDIANO","LARGO"))</f>
        <v>LARGO</v>
      </c>
      <c r="J145" s="92" t="str">
        <f>IF([1]!DataIris[[#This Row],[Ancho de pétalo]]&lt;=1.4,"ESTRECHO","ANCHO")</f>
        <v>ANCHO</v>
      </c>
      <c r="K145" s="92" t="s">
        <v>25</v>
      </c>
    </row>
    <row r="146" spans="2:30">
      <c r="B146" s="92">
        <v>7.6</v>
      </c>
      <c r="C146" s="92">
        <v>3</v>
      </c>
      <c r="D146" s="92">
        <v>6.6</v>
      </c>
      <c r="E146" s="92">
        <v>2.1</v>
      </c>
      <c r="F146" s="92" t="s">
        <v>27</v>
      </c>
      <c r="G146" s="92" t="str">
        <f>IF([1]!DataIris[[#This Row],[Largo de sépalo]]&lt;=5.5,"CORTO",IF([1]!DataIris[[#This Row],[Largo de sépalo]]&lt;=6.7,"MEDIANO","LARGO"))</f>
        <v>LARGO</v>
      </c>
      <c r="H146" s="92" t="str">
        <f>IF([1]!DataIris[[#This Row],[Ancho de sépalo]]&lt;=3.2,"ESTRECHO","ANCHO")</f>
        <v>ESTRECHO</v>
      </c>
      <c r="I146" s="92" t="str">
        <f>IF([1]!DataIris[[#This Row],[Largo de pétalo]]&lt;=3,"CORTO",IF([1]!DataIris[[#This Row],[Largo de pétalo]]&lt;=5,"MEDIANO","LARGO"))</f>
        <v>LARGO</v>
      </c>
      <c r="J146" s="92" t="str">
        <f>IF([1]!DataIris[[#This Row],[Ancho de pétalo]]&lt;=1.4,"ESTRECHO","ANCHO")</f>
        <v>ANCHO</v>
      </c>
      <c r="K146" s="92" t="s">
        <v>26</v>
      </c>
    </row>
    <row r="147" spans="2:30">
      <c r="B147" s="92">
        <v>7.7</v>
      </c>
      <c r="C147" s="92">
        <v>2.8</v>
      </c>
      <c r="D147" s="92">
        <v>6.7</v>
      </c>
      <c r="E147" s="92">
        <v>2</v>
      </c>
      <c r="F147" s="92" t="s">
        <v>27</v>
      </c>
      <c r="G147" s="92" t="str">
        <f>IF([1]!DataIris[[#This Row],[Largo de sépalo]]&lt;=5.5,"CORTO",IF([1]!DataIris[[#This Row],[Largo de sépalo]]&lt;=6.7,"MEDIANO","LARGO"))</f>
        <v>LARGO</v>
      </c>
      <c r="H147" s="92" t="str">
        <f>IF([1]!DataIris[[#This Row],[Ancho de sépalo]]&lt;=3.2,"ESTRECHO","ANCHO")</f>
        <v>ESTRECHO</v>
      </c>
      <c r="I147" s="92" t="str">
        <f>IF([1]!DataIris[[#This Row],[Largo de pétalo]]&lt;=3,"CORTO",IF([1]!DataIris[[#This Row],[Largo de pétalo]]&lt;=5,"MEDIANO","LARGO"))</f>
        <v>LARGO</v>
      </c>
      <c r="J147" s="92" t="str">
        <f>IF([1]!DataIris[[#This Row],[Ancho de pétalo]]&lt;=1.4,"ESTRECHO","ANCHO")</f>
        <v>ANCHO</v>
      </c>
      <c r="K147" s="92" t="s">
        <v>26</v>
      </c>
    </row>
    <row r="148" spans="2:30">
      <c r="B148" s="92">
        <v>7.7</v>
      </c>
      <c r="C148" s="92">
        <v>3.8</v>
      </c>
      <c r="D148" s="92">
        <v>6.7</v>
      </c>
      <c r="E148" s="92">
        <v>2.2000000000000002</v>
      </c>
      <c r="F148" s="92" t="s">
        <v>27</v>
      </c>
      <c r="G148" s="92" t="str">
        <f>IF([1]!DataIris[[#This Row],[Largo de sépalo]]&lt;=5.5,"CORTO",IF([1]!DataIris[[#This Row],[Largo de sépalo]]&lt;=6.7,"MEDIANO","LARGO"))</f>
        <v>LARGO</v>
      </c>
      <c r="H148" s="92" t="str">
        <f>IF([1]!DataIris[[#This Row],[Ancho de sépalo]]&lt;=3.2,"ESTRECHO","ANCHO")</f>
        <v>ANCHO</v>
      </c>
      <c r="I148" s="92" t="str">
        <f>IF([1]!DataIris[[#This Row],[Largo de pétalo]]&lt;=3,"CORTO",IF([1]!DataIris[[#This Row],[Largo de pétalo]]&lt;=5,"MEDIANO","LARGO"))</f>
        <v>LARGO</v>
      </c>
      <c r="J148" s="92" t="str">
        <f>IF([1]!DataIris[[#This Row],[Ancho de pétalo]]&lt;=1.4,"ESTRECHO","ANCHO")</f>
        <v>ANCHO</v>
      </c>
      <c r="K148" s="92" t="s">
        <v>27</v>
      </c>
    </row>
    <row r="149" spans="2:30">
      <c r="B149" s="92">
        <v>7.7</v>
      </c>
      <c r="C149" s="92">
        <v>3</v>
      </c>
      <c r="D149" s="92">
        <v>6.1</v>
      </c>
      <c r="E149" s="92">
        <v>2.2999999999999998</v>
      </c>
      <c r="F149" s="92" t="s">
        <v>27</v>
      </c>
      <c r="G149" s="92" t="str">
        <f>IF([1]!DataIris[[#This Row],[Largo de sépalo]]&lt;=5.5,"CORTO",IF([1]!DataIris[[#This Row],[Largo de sépalo]]&lt;=6.7,"MEDIANO","LARGO"))</f>
        <v>LARGO</v>
      </c>
      <c r="H149" s="92" t="str">
        <f>IF([1]!DataIris[[#This Row],[Ancho de sépalo]]&lt;=3.2,"ESTRECHO","ANCHO")</f>
        <v>ESTRECHO</v>
      </c>
      <c r="I149" s="92" t="str">
        <f>IF([1]!DataIris[[#This Row],[Largo de pétalo]]&lt;=3,"CORTO",IF([1]!DataIris[[#This Row],[Largo de pétalo]]&lt;=5,"MEDIANO","LARGO"))</f>
        <v>LARGO</v>
      </c>
      <c r="J149" s="92" t="str">
        <f>IF([1]!DataIris[[#This Row],[Ancho de pétalo]]&lt;=1.4,"ESTRECHO","ANCHO")</f>
        <v>ANCHO</v>
      </c>
      <c r="K149" s="92" t="s">
        <v>27</v>
      </c>
    </row>
    <row r="150" spans="2:30">
      <c r="B150" s="92">
        <v>7.7</v>
      </c>
      <c r="C150" s="92">
        <v>2.6</v>
      </c>
      <c r="D150" s="92">
        <v>6.9</v>
      </c>
      <c r="E150" s="92">
        <v>2.2999999999999998</v>
      </c>
      <c r="F150" s="92" t="s">
        <v>27</v>
      </c>
      <c r="G150" s="92" t="str">
        <f>IF([1]!DataIris[[#This Row],[Largo de sépalo]]&lt;=5.5,"CORTO",IF([1]!DataIris[[#This Row],[Largo de sépalo]]&lt;=6.7,"MEDIANO","LARGO"))</f>
        <v>LARGO</v>
      </c>
      <c r="H150" s="92" t="str">
        <f>IF([1]!DataIris[[#This Row],[Ancho de sépalo]]&lt;=3.2,"ESTRECHO","ANCHO")</f>
        <v>ESTRECHO</v>
      </c>
      <c r="I150" s="92" t="str">
        <f>IF([1]!DataIris[[#This Row],[Largo de pétalo]]&lt;=3,"CORTO",IF([1]!DataIris[[#This Row],[Largo de pétalo]]&lt;=5,"MEDIANO","LARGO"))</f>
        <v>LARGO</v>
      </c>
      <c r="J150" s="92" t="str">
        <f>IF([1]!DataIris[[#This Row],[Ancho de pétalo]]&lt;=1.4,"ESTRECHO","ANCHO")</f>
        <v>ANCHO</v>
      </c>
      <c r="K150" s="92" t="s">
        <v>25</v>
      </c>
    </row>
    <row r="151" spans="2:30">
      <c r="B151" s="92">
        <v>7.9</v>
      </c>
      <c r="C151" s="92">
        <v>3.8</v>
      </c>
      <c r="D151" s="92">
        <v>6.4</v>
      </c>
      <c r="E151" s="92">
        <v>2</v>
      </c>
      <c r="F151" s="92" t="s">
        <v>27</v>
      </c>
      <c r="G151" s="92" t="str">
        <f>IF([1]!DataIris[[#This Row],[Largo de sépalo]]&lt;=5.5,"CORTO",IF([1]!DataIris[[#This Row],[Largo de sépalo]]&lt;=6.7,"MEDIANO","LARGO"))</f>
        <v>LARGO</v>
      </c>
      <c r="H151" s="92" t="str">
        <f>IF([1]!DataIris[[#This Row],[Ancho de sépalo]]&lt;=3.2,"ESTRECHO","ANCHO")</f>
        <v>ANCHO</v>
      </c>
      <c r="I151" s="92" t="str">
        <f>IF([1]!DataIris[[#This Row],[Largo de pétalo]]&lt;=3,"CORTO",IF([1]!DataIris[[#This Row],[Largo de pétalo]]&lt;=5,"MEDIANO","LARGO"))</f>
        <v>LARGO</v>
      </c>
      <c r="J151" s="92" t="str">
        <f>IF([1]!DataIris[[#This Row],[Ancho de pétalo]]&lt;=1.4,"ESTRECHO","ANCHO")</f>
        <v>ANCHO</v>
      </c>
      <c r="K151" s="92" t="s">
        <v>26</v>
      </c>
    </row>
    <row r="154" spans="2:30">
      <c r="D154" s="14" t="s">
        <v>15</v>
      </c>
      <c r="E154" s="12">
        <v>1.5840000000000001</v>
      </c>
      <c r="H154" s="15" t="s">
        <v>19</v>
      </c>
      <c r="I154" s="13">
        <v>0.59699999999999998</v>
      </c>
    </row>
    <row r="155" spans="2:30" s="6" customFormat="1"/>
    <row r="156" spans="2:30">
      <c r="B156" s="24" t="s">
        <v>16</v>
      </c>
      <c r="C156" s="25">
        <v>0.83599999999999997</v>
      </c>
      <c r="L156" s="17" t="s">
        <v>17</v>
      </c>
      <c r="M156" s="16">
        <v>1.23</v>
      </c>
      <c r="V156" s="24" t="s">
        <v>18</v>
      </c>
      <c r="W156" s="25">
        <v>0.81200000000000006</v>
      </c>
    </row>
    <row r="157" spans="2:30">
      <c r="B157" s="108" t="s">
        <v>28</v>
      </c>
      <c r="C157" s="109" t="s">
        <v>29</v>
      </c>
      <c r="D157" s="109" t="s">
        <v>30</v>
      </c>
      <c r="E157" s="109" t="s">
        <v>31</v>
      </c>
      <c r="F157" s="109" t="s">
        <v>24</v>
      </c>
      <c r="G157" s="109" t="s">
        <v>32</v>
      </c>
      <c r="H157" s="109" t="s">
        <v>33</v>
      </c>
      <c r="I157" s="109" t="s">
        <v>34</v>
      </c>
      <c r="J157" s="110" t="s">
        <v>35</v>
      </c>
      <c r="L157" s="26" t="s">
        <v>28</v>
      </c>
      <c r="M157" s="27" t="s">
        <v>29</v>
      </c>
      <c r="N157" s="27" t="s">
        <v>30</v>
      </c>
      <c r="O157" s="27" t="s">
        <v>31</v>
      </c>
      <c r="P157" s="27" t="s">
        <v>24</v>
      </c>
      <c r="Q157" s="27" t="s">
        <v>32</v>
      </c>
      <c r="R157" s="27" t="s">
        <v>33</v>
      </c>
      <c r="S157" s="27" t="s">
        <v>34</v>
      </c>
      <c r="T157" s="28" t="s">
        <v>35</v>
      </c>
      <c r="V157" s="81" t="s">
        <v>28</v>
      </c>
      <c r="W157" s="82" t="s">
        <v>29</v>
      </c>
      <c r="X157" s="82" t="s">
        <v>30</v>
      </c>
      <c r="Y157" s="82" t="s">
        <v>31</v>
      </c>
      <c r="Z157" s="82" t="s">
        <v>24</v>
      </c>
      <c r="AA157" s="82" t="s">
        <v>32</v>
      </c>
      <c r="AB157" s="82" t="s">
        <v>33</v>
      </c>
      <c r="AC157" s="82" t="s">
        <v>34</v>
      </c>
      <c r="AD157" s="83" t="s">
        <v>35</v>
      </c>
    </row>
    <row r="158" spans="2:30">
      <c r="B158" s="29">
        <v>7</v>
      </c>
      <c r="C158" s="22">
        <v>3.2</v>
      </c>
      <c r="D158" s="22">
        <v>4.7</v>
      </c>
      <c r="E158" s="22">
        <v>1.4</v>
      </c>
      <c r="F158" s="22" t="s">
        <v>1</v>
      </c>
      <c r="G158" s="51" t="s">
        <v>10</v>
      </c>
      <c r="H158" s="18" t="s">
        <v>9</v>
      </c>
      <c r="I158" s="18" t="s">
        <v>9</v>
      </c>
      <c r="J158" s="97" t="s">
        <v>9</v>
      </c>
      <c r="L158" s="29">
        <v>5.8</v>
      </c>
      <c r="M158" s="22">
        <v>4</v>
      </c>
      <c r="N158" s="22">
        <v>1.2</v>
      </c>
      <c r="O158" s="22">
        <v>0.2</v>
      </c>
      <c r="P158" s="22" t="s">
        <v>0</v>
      </c>
      <c r="Q158" s="61" t="s">
        <v>9</v>
      </c>
      <c r="R158" s="18" t="s">
        <v>10</v>
      </c>
      <c r="S158" s="18" t="s">
        <v>8</v>
      </c>
      <c r="T158" s="97" t="s">
        <v>8</v>
      </c>
      <c r="V158" s="93">
        <v>5.0999999999999996</v>
      </c>
      <c r="W158" s="22">
        <v>3.5</v>
      </c>
      <c r="X158" s="22">
        <v>1.4</v>
      </c>
      <c r="Y158" s="22">
        <v>0.2</v>
      </c>
      <c r="Z158" s="22" t="s">
        <v>0</v>
      </c>
      <c r="AA158" s="111" t="s">
        <v>8</v>
      </c>
      <c r="AB158" s="18" t="s">
        <v>9</v>
      </c>
      <c r="AC158" s="18" t="s">
        <v>8</v>
      </c>
      <c r="AD158" s="97" t="s">
        <v>8</v>
      </c>
    </row>
    <row r="159" spans="2:30">
      <c r="B159" s="29">
        <v>6.9</v>
      </c>
      <c r="C159" s="22">
        <v>3.1</v>
      </c>
      <c r="D159" s="22">
        <v>4.9000000000000004</v>
      </c>
      <c r="E159" s="22">
        <v>1.5</v>
      </c>
      <c r="F159" s="22" t="s">
        <v>1</v>
      </c>
      <c r="G159" s="51" t="s">
        <v>10</v>
      </c>
      <c r="H159" s="18" t="s">
        <v>9</v>
      </c>
      <c r="I159" s="18" t="s">
        <v>10</v>
      </c>
      <c r="J159" s="97" t="s">
        <v>9</v>
      </c>
      <c r="L159" s="31">
        <v>5.7</v>
      </c>
      <c r="M159" s="18">
        <v>4.4000000000000004</v>
      </c>
      <c r="N159" s="18">
        <v>1.5</v>
      </c>
      <c r="O159" s="18">
        <v>0.4</v>
      </c>
      <c r="P159" s="18" t="s">
        <v>0</v>
      </c>
      <c r="Q159" s="61" t="s">
        <v>9</v>
      </c>
      <c r="R159" s="18" t="s">
        <v>10</v>
      </c>
      <c r="S159" s="18" t="s">
        <v>8</v>
      </c>
      <c r="T159" s="97" t="s">
        <v>8</v>
      </c>
      <c r="V159" s="31">
        <v>4.9000000000000004</v>
      </c>
      <c r="W159" s="18">
        <v>3</v>
      </c>
      <c r="X159" s="18">
        <v>1.4</v>
      </c>
      <c r="Y159" s="18">
        <v>0.2</v>
      </c>
      <c r="Z159" s="18" t="s">
        <v>0</v>
      </c>
      <c r="AA159" s="111" t="s">
        <v>8</v>
      </c>
      <c r="AB159" s="18" t="s">
        <v>9</v>
      </c>
      <c r="AC159" s="18" t="s">
        <v>8</v>
      </c>
      <c r="AD159" s="97" t="s">
        <v>8</v>
      </c>
    </row>
    <row r="160" spans="2:30">
      <c r="B160" s="29">
        <v>6.6</v>
      </c>
      <c r="C160" s="22">
        <v>2.9</v>
      </c>
      <c r="D160" s="22">
        <v>4.5999999999999996</v>
      </c>
      <c r="E160" s="22">
        <v>1.3</v>
      </c>
      <c r="F160" s="22" t="s">
        <v>1</v>
      </c>
      <c r="G160" s="51" t="s">
        <v>10</v>
      </c>
      <c r="H160" s="18" t="s">
        <v>8</v>
      </c>
      <c r="I160" s="18" t="s">
        <v>9</v>
      </c>
      <c r="J160" s="97" t="s">
        <v>9</v>
      </c>
      <c r="L160" s="29">
        <v>5.7</v>
      </c>
      <c r="M160" s="22">
        <v>3.8</v>
      </c>
      <c r="N160" s="22">
        <v>1.7</v>
      </c>
      <c r="O160" s="22">
        <v>0.3</v>
      </c>
      <c r="P160" s="22" t="s">
        <v>0</v>
      </c>
      <c r="Q160" s="61" t="s">
        <v>9</v>
      </c>
      <c r="R160" s="18" t="s">
        <v>10</v>
      </c>
      <c r="S160" s="18" t="s">
        <v>8</v>
      </c>
      <c r="T160" s="97" t="s">
        <v>8</v>
      </c>
      <c r="V160" s="29">
        <v>4.7</v>
      </c>
      <c r="W160" s="22">
        <v>3.2</v>
      </c>
      <c r="X160" s="22">
        <v>1.3</v>
      </c>
      <c r="Y160" s="22">
        <v>0.2</v>
      </c>
      <c r="Z160" s="22" t="s">
        <v>0</v>
      </c>
      <c r="AA160" s="111" t="s">
        <v>8</v>
      </c>
      <c r="AB160" s="18" t="s">
        <v>9</v>
      </c>
      <c r="AC160" s="18" t="s">
        <v>8</v>
      </c>
      <c r="AD160" s="97" t="s">
        <v>8</v>
      </c>
    </row>
    <row r="161" spans="2:30">
      <c r="B161" s="31">
        <v>6.7</v>
      </c>
      <c r="C161" s="18">
        <v>3.1</v>
      </c>
      <c r="D161" s="18">
        <v>4.4000000000000004</v>
      </c>
      <c r="E161" s="18">
        <v>1.4</v>
      </c>
      <c r="F161" s="18" t="s">
        <v>1</v>
      </c>
      <c r="G161" s="51" t="s">
        <v>10</v>
      </c>
      <c r="H161" s="18" t="s">
        <v>9</v>
      </c>
      <c r="I161" s="18" t="s">
        <v>9</v>
      </c>
      <c r="J161" s="97" t="s">
        <v>9</v>
      </c>
      <c r="L161" s="31">
        <v>6.4</v>
      </c>
      <c r="M161" s="18">
        <v>3.2</v>
      </c>
      <c r="N161" s="18">
        <v>4.5</v>
      </c>
      <c r="O161" s="18">
        <v>1.5</v>
      </c>
      <c r="P161" s="18" t="s">
        <v>1</v>
      </c>
      <c r="Q161" s="61" t="s">
        <v>9</v>
      </c>
      <c r="R161" s="18" t="s">
        <v>9</v>
      </c>
      <c r="S161" s="18" t="s">
        <v>9</v>
      </c>
      <c r="T161" s="97" t="s">
        <v>9</v>
      </c>
      <c r="V161" s="31">
        <v>4.5999999999999996</v>
      </c>
      <c r="W161" s="18">
        <v>3.1</v>
      </c>
      <c r="X161" s="18">
        <v>1.5</v>
      </c>
      <c r="Y161" s="18">
        <v>0.2</v>
      </c>
      <c r="Z161" s="18" t="s">
        <v>0</v>
      </c>
      <c r="AA161" s="111" t="s">
        <v>8</v>
      </c>
      <c r="AB161" s="18" t="s">
        <v>9</v>
      </c>
      <c r="AC161" s="18" t="s">
        <v>8</v>
      </c>
      <c r="AD161" s="97" t="s">
        <v>8</v>
      </c>
    </row>
    <row r="162" spans="2:30">
      <c r="B162" s="31">
        <v>6.6</v>
      </c>
      <c r="C162" s="18">
        <v>3</v>
      </c>
      <c r="D162" s="18">
        <v>4.4000000000000004</v>
      </c>
      <c r="E162" s="18">
        <v>1.4</v>
      </c>
      <c r="F162" s="18" t="s">
        <v>1</v>
      </c>
      <c r="G162" s="51" t="s">
        <v>10</v>
      </c>
      <c r="H162" s="18" t="s">
        <v>9</v>
      </c>
      <c r="I162" s="18" t="s">
        <v>9</v>
      </c>
      <c r="J162" s="97" t="s">
        <v>9</v>
      </c>
      <c r="L162" s="29">
        <v>6.5</v>
      </c>
      <c r="M162" s="22">
        <v>2.8</v>
      </c>
      <c r="N162" s="22">
        <v>4.5999999999999996</v>
      </c>
      <c r="O162" s="22">
        <v>1.5</v>
      </c>
      <c r="P162" s="22" t="s">
        <v>1</v>
      </c>
      <c r="Q162" s="61" t="s">
        <v>9</v>
      </c>
      <c r="R162" s="18" t="s">
        <v>8</v>
      </c>
      <c r="S162" s="18" t="s">
        <v>9</v>
      </c>
      <c r="T162" s="97" t="s">
        <v>9</v>
      </c>
      <c r="V162" s="29">
        <v>5</v>
      </c>
      <c r="W162" s="22">
        <v>3.6</v>
      </c>
      <c r="X162" s="22">
        <v>1.4</v>
      </c>
      <c r="Y162" s="22">
        <v>0.2</v>
      </c>
      <c r="Z162" s="22" t="s">
        <v>0</v>
      </c>
      <c r="AA162" s="111" t="s">
        <v>8</v>
      </c>
      <c r="AB162" s="18" t="s">
        <v>10</v>
      </c>
      <c r="AC162" s="18" t="s">
        <v>8</v>
      </c>
      <c r="AD162" s="97" t="s">
        <v>8</v>
      </c>
    </row>
    <row r="163" spans="2:30">
      <c r="B163" s="29">
        <v>6.8</v>
      </c>
      <c r="C163" s="22">
        <v>2.8</v>
      </c>
      <c r="D163" s="22">
        <v>4.8</v>
      </c>
      <c r="E163" s="22">
        <v>1.4</v>
      </c>
      <c r="F163" s="22" t="s">
        <v>1</v>
      </c>
      <c r="G163" s="51" t="s">
        <v>10</v>
      </c>
      <c r="H163" s="18" t="s">
        <v>8</v>
      </c>
      <c r="I163" s="18" t="s">
        <v>9</v>
      </c>
      <c r="J163" s="97" t="s">
        <v>9</v>
      </c>
      <c r="L163" s="31">
        <v>5.7</v>
      </c>
      <c r="M163" s="18">
        <v>2.8</v>
      </c>
      <c r="N163" s="18">
        <v>4.5</v>
      </c>
      <c r="O163" s="18">
        <v>1.3</v>
      </c>
      <c r="P163" s="18" t="s">
        <v>1</v>
      </c>
      <c r="Q163" s="61" t="s">
        <v>9</v>
      </c>
      <c r="R163" s="18" t="s">
        <v>8</v>
      </c>
      <c r="S163" s="18" t="s">
        <v>9</v>
      </c>
      <c r="T163" s="97" t="s">
        <v>9</v>
      </c>
      <c r="V163" s="31">
        <v>5.4</v>
      </c>
      <c r="W163" s="18">
        <v>3.9</v>
      </c>
      <c r="X163" s="18">
        <v>1.7</v>
      </c>
      <c r="Y163" s="18">
        <v>0.4</v>
      </c>
      <c r="Z163" s="18" t="s">
        <v>0</v>
      </c>
      <c r="AA163" s="111" t="s">
        <v>8</v>
      </c>
      <c r="AB163" s="18" t="s">
        <v>10</v>
      </c>
      <c r="AC163" s="18" t="s">
        <v>8</v>
      </c>
      <c r="AD163" s="97" t="s">
        <v>8</v>
      </c>
    </row>
    <row r="164" spans="2:30">
      <c r="B164" s="31">
        <v>6.7</v>
      </c>
      <c r="C164" s="18">
        <v>3</v>
      </c>
      <c r="D164" s="18">
        <v>5</v>
      </c>
      <c r="E164" s="18">
        <v>1.7</v>
      </c>
      <c r="F164" s="18" t="s">
        <v>1</v>
      </c>
      <c r="G164" s="51" t="s">
        <v>10</v>
      </c>
      <c r="H164" s="18" t="s">
        <v>9</v>
      </c>
      <c r="I164" s="18" t="s">
        <v>10</v>
      </c>
      <c r="J164" s="97" t="s">
        <v>9</v>
      </c>
      <c r="L164" s="29">
        <v>6.3</v>
      </c>
      <c r="M164" s="22">
        <v>3.3</v>
      </c>
      <c r="N164" s="22">
        <v>4.7</v>
      </c>
      <c r="O164" s="22">
        <v>1.6</v>
      </c>
      <c r="P164" s="22" t="s">
        <v>1</v>
      </c>
      <c r="Q164" s="61" t="s">
        <v>9</v>
      </c>
      <c r="R164" s="18" t="s">
        <v>9</v>
      </c>
      <c r="S164" s="18" t="s">
        <v>9</v>
      </c>
      <c r="T164" s="97" t="s">
        <v>9</v>
      </c>
      <c r="V164" s="29">
        <v>4.5999999999999996</v>
      </c>
      <c r="W164" s="22">
        <v>3.4</v>
      </c>
      <c r="X164" s="22">
        <v>1.4</v>
      </c>
      <c r="Y164" s="22">
        <v>0.3</v>
      </c>
      <c r="Z164" s="22" t="s">
        <v>0</v>
      </c>
      <c r="AA164" s="111" t="s">
        <v>8</v>
      </c>
      <c r="AB164" s="18" t="s">
        <v>9</v>
      </c>
      <c r="AC164" s="18" t="s">
        <v>8</v>
      </c>
      <c r="AD164" s="97" t="s">
        <v>8</v>
      </c>
    </row>
    <row r="165" spans="2:30">
      <c r="B165" s="29">
        <v>6.7</v>
      </c>
      <c r="C165" s="22">
        <v>3.1</v>
      </c>
      <c r="D165" s="22">
        <v>4.7</v>
      </c>
      <c r="E165" s="22">
        <v>1.5</v>
      </c>
      <c r="F165" s="22" t="s">
        <v>1</v>
      </c>
      <c r="G165" s="51" t="s">
        <v>10</v>
      </c>
      <c r="H165" s="18" t="s">
        <v>9</v>
      </c>
      <c r="I165" s="18" t="s">
        <v>9</v>
      </c>
      <c r="J165" s="97" t="s">
        <v>9</v>
      </c>
      <c r="L165" s="31">
        <v>5.9</v>
      </c>
      <c r="M165" s="18">
        <v>3</v>
      </c>
      <c r="N165" s="18">
        <v>4.2</v>
      </c>
      <c r="O165" s="18">
        <v>1.5</v>
      </c>
      <c r="P165" s="18" t="s">
        <v>1</v>
      </c>
      <c r="Q165" s="61" t="s">
        <v>9</v>
      </c>
      <c r="R165" s="18" t="s">
        <v>9</v>
      </c>
      <c r="S165" s="18" t="s">
        <v>9</v>
      </c>
      <c r="T165" s="97" t="s">
        <v>9</v>
      </c>
      <c r="V165" s="31">
        <v>5</v>
      </c>
      <c r="W165" s="18">
        <v>3.4</v>
      </c>
      <c r="X165" s="18">
        <v>1.5</v>
      </c>
      <c r="Y165" s="18">
        <v>0.2</v>
      </c>
      <c r="Z165" s="18" t="s">
        <v>0</v>
      </c>
      <c r="AA165" s="111" t="s">
        <v>8</v>
      </c>
      <c r="AB165" s="18" t="s">
        <v>9</v>
      </c>
      <c r="AC165" s="18" t="s">
        <v>8</v>
      </c>
      <c r="AD165" s="97" t="s">
        <v>8</v>
      </c>
    </row>
    <row r="166" spans="2:30">
      <c r="B166" s="29">
        <v>7.1</v>
      </c>
      <c r="C166" s="22">
        <v>3</v>
      </c>
      <c r="D166" s="22">
        <v>5.9</v>
      </c>
      <c r="E166" s="22">
        <v>2.1</v>
      </c>
      <c r="F166" s="22" t="s">
        <v>2</v>
      </c>
      <c r="G166" s="51" t="s">
        <v>10</v>
      </c>
      <c r="H166" s="18" t="s">
        <v>9</v>
      </c>
      <c r="I166" s="18" t="s">
        <v>10</v>
      </c>
      <c r="J166" s="97" t="s">
        <v>10</v>
      </c>
      <c r="L166" s="29">
        <v>6</v>
      </c>
      <c r="M166" s="22">
        <v>2.2000000000000002</v>
      </c>
      <c r="N166" s="22">
        <v>4</v>
      </c>
      <c r="O166" s="22">
        <v>1</v>
      </c>
      <c r="P166" s="22" t="s">
        <v>1</v>
      </c>
      <c r="Q166" s="61" t="s">
        <v>9</v>
      </c>
      <c r="R166" s="18" t="s">
        <v>8</v>
      </c>
      <c r="S166" s="18" t="s">
        <v>9</v>
      </c>
      <c r="T166" s="97" t="s">
        <v>9</v>
      </c>
      <c r="V166" s="29">
        <v>4.4000000000000004</v>
      </c>
      <c r="W166" s="22">
        <v>2.9</v>
      </c>
      <c r="X166" s="22">
        <v>1.4</v>
      </c>
      <c r="Y166" s="22">
        <v>0.2</v>
      </c>
      <c r="Z166" s="22" t="s">
        <v>0</v>
      </c>
      <c r="AA166" s="111" t="s">
        <v>8</v>
      </c>
      <c r="AB166" s="18" t="s">
        <v>8</v>
      </c>
      <c r="AC166" s="18" t="s">
        <v>8</v>
      </c>
      <c r="AD166" s="97" t="s">
        <v>8</v>
      </c>
    </row>
    <row r="167" spans="2:30">
      <c r="B167" s="31">
        <v>7.6</v>
      </c>
      <c r="C167" s="18">
        <v>3</v>
      </c>
      <c r="D167" s="18">
        <v>6.6</v>
      </c>
      <c r="E167" s="18">
        <v>2.1</v>
      </c>
      <c r="F167" s="18" t="s">
        <v>2</v>
      </c>
      <c r="G167" s="51" t="s">
        <v>10</v>
      </c>
      <c r="H167" s="18" t="s">
        <v>9</v>
      </c>
      <c r="I167" s="18" t="s">
        <v>10</v>
      </c>
      <c r="J167" s="97" t="s">
        <v>10</v>
      </c>
      <c r="L167" s="31">
        <v>6.1</v>
      </c>
      <c r="M167" s="18">
        <v>2.9</v>
      </c>
      <c r="N167" s="18">
        <v>4.7</v>
      </c>
      <c r="O167" s="18">
        <v>1.4</v>
      </c>
      <c r="P167" s="18" t="s">
        <v>1</v>
      </c>
      <c r="Q167" s="61" t="s">
        <v>9</v>
      </c>
      <c r="R167" s="18" t="s">
        <v>8</v>
      </c>
      <c r="S167" s="18" t="s">
        <v>9</v>
      </c>
      <c r="T167" s="97" t="s">
        <v>9</v>
      </c>
      <c r="V167" s="31">
        <v>4.9000000000000004</v>
      </c>
      <c r="W167" s="18">
        <v>3.1</v>
      </c>
      <c r="X167" s="18">
        <v>1.5</v>
      </c>
      <c r="Y167" s="18">
        <v>0.1</v>
      </c>
      <c r="Z167" s="18" t="s">
        <v>0</v>
      </c>
      <c r="AA167" s="111" t="s">
        <v>8</v>
      </c>
      <c r="AB167" s="18" t="s">
        <v>9</v>
      </c>
      <c r="AC167" s="18" t="s">
        <v>8</v>
      </c>
      <c r="AD167" s="97" t="s">
        <v>8</v>
      </c>
    </row>
    <row r="168" spans="2:30">
      <c r="B168" s="31">
        <v>7.3</v>
      </c>
      <c r="C168" s="18">
        <v>2.9</v>
      </c>
      <c r="D168" s="18">
        <v>6.3</v>
      </c>
      <c r="E168" s="18">
        <v>1.8</v>
      </c>
      <c r="F168" s="18" t="s">
        <v>2</v>
      </c>
      <c r="G168" s="51" t="s">
        <v>10</v>
      </c>
      <c r="H168" s="18" t="s">
        <v>8</v>
      </c>
      <c r="I168" s="18" t="s">
        <v>10</v>
      </c>
      <c r="J168" s="97" t="s">
        <v>10</v>
      </c>
      <c r="L168" s="29">
        <v>5.6</v>
      </c>
      <c r="M168" s="22">
        <v>2.9</v>
      </c>
      <c r="N168" s="22">
        <v>3.6</v>
      </c>
      <c r="O168" s="22">
        <v>1.3</v>
      </c>
      <c r="P168" s="22" t="s">
        <v>1</v>
      </c>
      <c r="Q168" s="61" t="s">
        <v>9</v>
      </c>
      <c r="R168" s="18" t="s">
        <v>8</v>
      </c>
      <c r="S168" s="18" t="s">
        <v>9</v>
      </c>
      <c r="T168" s="97" t="s">
        <v>9</v>
      </c>
      <c r="V168" s="29">
        <v>5.4</v>
      </c>
      <c r="W168" s="22">
        <v>3.7</v>
      </c>
      <c r="X168" s="22">
        <v>1.5</v>
      </c>
      <c r="Y168" s="22">
        <v>0.2</v>
      </c>
      <c r="Z168" s="22" t="s">
        <v>0</v>
      </c>
      <c r="AA168" s="111" t="s">
        <v>8</v>
      </c>
      <c r="AB168" s="18" t="s">
        <v>10</v>
      </c>
      <c r="AC168" s="18" t="s">
        <v>8</v>
      </c>
      <c r="AD168" s="97" t="s">
        <v>8</v>
      </c>
    </row>
    <row r="169" spans="2:30">
      <c r="B169" s="29">
        <v>6.7</v>
      </c>
      <c r="C169" s="22">
        <v>2.5</v>
      </c>
      <c r="D169" s="22">
        <v>5.8</v>
      </c>
      <c r="E169" s="22">
        <v>1.8</v>
      </c>
      <c r="F169" s="22" t="s">
        <v>2</v>
      </c>
      <c r="G169" s="51" t="s">
        <v>10</v>
      </c>
      <c r="H169" s="18" t="s">
        <v>8</v>
      </c>
      <c r="I169" s="18" t="s">
        <v>10</v>
      </c>
      <c r="J169" s="97" t="s">
        <v>10</v>
      </c>
      <c r="L169" s="29">
        <v>5.6</v>
      </c>
      <c r="M169" s="22">
        <v>3</v>
      </c>
      <c r="N169" s="22">
        <v>4.5</v>
      </c>
      <c r="O169" s="22">
        <v>1.5</v>
      </c>
      <c r="P169" s="22" t="s">
        <v>1</v>
      </c>
      <c r="Q169" s="61" t="s">
        <v>9</v>
      </c>
      <c r="R169" s="18" t="s">
        <v>9</v>
      </c>
      <c r="S169" s="18" t="s">
        <v>9</v>
      </c>
      <c r="T169" s="97" t="s">
        <v>9</v>
      </c>
      <c r="V169" s="31">
        <v>4.8</v>
      </c>
      <c r="W169" s="18">
        <v>3.4</v>
      </c>
      <c r="X169" s="18">
        <v>1.6</v>
      </c>
      <c r="Y169" s="18">
        <v>0.2</v>
      </c>
      <c r="Z169" s="18" t="s">
        <v>0</v>
      </c>
      <c r="AA169" s="111" t="s">
        <v>8</v>
      </c>
      <c r="AB169" s="18" t="s">
        <v>9</v>
      </c>
      <c r="AC169" s="18" t="s">
        <v>8</v>
      </c>
      <c r="AD169" s="97" t="s">
        <v>8</v>
      </c>
    </row>
    <row r="170" spans="2:30">
      <c r="B170" s="31">
        <v>7.2</v>
      </c>
      <c r="C170" s="18">
        <v>3.6</v>
      </c>
      <c r="D170" s="18">
        <v>6.1</v>
      </c>
      <c r="E170" s="18">
        <v>2.5</v>
      </c>
      <c r="F170" s="18" t="s">
        <v>2</v>
      </c>
      <c r="G170" s="51" t="s">
        <v>10</v>
      </c>
      <c r="H170" s="18" t="s">
        <v>10</v>
      </c>
      <c r="I170" s="18" t="s">
        <v>10</v>
      </c>
      <c r="J170" s="97" t="s">
        <v>10</v>
      </c>
      <c r="L170" s="31">
        <v>5.8</v>
      </c>
      <c r="M170" s="18">
        <v>2.7</v>
      </c>
      <c r="N170" s="18">
        <v>4.0999999999999996</v>
      </c>
      <c r="O170" s="18">
        <v>1</v>
      </c>
      <c r="P170" s="18" t="s">
        <v>1</v>
      </c>
      <c r="Q170" s="61" t="s">
        <v>9</v>
      </c>
      <c r="R170" s="18" t="s">
        <v>8</v>
      </c>
      <c r="S170" s="18" t="s">
        <v>9</v>
      </c>
      <c r="T170" s="97" t="s">
        <v>9</v>
      </c>
      <c r="V170" s="29">
        <v>4.8</v>
      </c>
      <c r="W170" s="22">
        <v>3</v>
      </c>
      <c r="X170" s="22">
        <v>1.4</v>
      </c>
      <c r="Y170" s="22">
        <v>0.1</v>
      </c>
      <c r="Z170" s="22" t="s">
        <v>0</v>
      </c>
      <c r="AA170" s="111" t="s">
        <v>8</v>
      </c>
      <c r="AB170" s="18" t="s">
        <v>9</v>
      </c>
      <c r="AC170" s="18" t="s">
        <v>8</v>
      </c>
      <c r="AD170" s="97" t="s">
        <v>8</v>
      </c>
    </row>
    <row r="171" spans="2:30">
      <c r="B171" s="29">
        <v>6.8</v>
      </c>
      <c r="C171" s="22">
        <v>3</v>
      </c>
      <c r="D171" s="22">
        <v>5.5</v>
      </c>
      <c r="E171" s="22">
        <v>2.1</v>
      </c>
      <c r="F171" s="22" t="s">
        <v>2</v>
      </c>
      <c r="G171" s="51" t="s">
        <v>10</v>
      </c>
      <c r="H171" s="18" t="s">
        <v>9</v>
      </c>
      <c r="I171" s="18" t="s">
        <v>10</v>
      </c>
      <c r="J171" s="97" t="s">
        <v>10</v>
      </c>
      <c r="L171" s="29">
        <v>6.2</v>
      </c>
      <c r="M171" s="22">
        <v>2.2000000000000002</v>
      </c>
      <c r="N171" s="22">
        <v>4.5</v>
      </c>
      <c r="O171" s="22">
        <v>1.5</v>
      </c>
      <c r="P171" s="22" t="s">
        <v>1</v>
      </c>
      <c r="Q171" s="61" t="s">
        <v>9</v>
      </c>
      <c r="R171" s="18" t="s">
        <v>8</v>
      </c>
      <c r="S171" s="18" t="s">
        <v>9</v>
      </c>
      <c r="T171" s="97" t="s">
        <v>9</v>
      </c>
      <c r="V171" s="31">
        <v>4.3</v>
      </c>
      <c r="W171" s="18">
        <v>3</v>
      </c>
      <c r="X171" s="18">
        <v>1.1000000000000001</v>
      </c>
      <c r="Y171" s="18">
        <v>0.1</v>
      </c>
      <c r="Z171" s="18" t="s">
        <v>0</v>
      </c>
      <c r="AA171" s="111" t="s">
        <v>8</v>
      </c>
      <c r="AB171" s="18" t="s">
        <v>9</v>
      </c>
      <c r="AC171" s="18" t="s">
        <v>8</v>
      </c>
      <c r="AD171" s="97" t="s">
        <v>8</v>
      </c>
    </row>
    <row r="172" spans="2:30">
      <c r="B172" s="31">
        <v>7.7</v>
      </c>
      <c r="C172" s="18">
        <v>3.8</v>
      </c>
      <c r="D172" s="18">
        <v>6.7</v>
      </c>
      <c r="E172" s="18">
        <v>2.2000000000000002</v>
      </c>
      <c r="F172" s="18" t="s">
        <v>2</v>
      </c>
      <c r="G172" s="51" t="s">
        <v>10</v>
      </c>
      <c r="H172" s="18" t="s">
        <v>10</v>
      </c>
      <c r="I172" s="18" t="s">
        <v>10</v>
      </c>
      <c r="J172" s="97" t="s">
        <v>10</v>
      </c>
      <c r="L172" s="31">
        <v>5.6</v>
      </c>
      <c r="M172" s="18">
        <v>2.5</v>
      </c>
      <c r="N172" s="18">
        <v>3.9</v>
      </c>
      <c r="O172" s="18">
        <v>1.1000000000000001</v>
      </c>
      <c r="P172" s="18" t="s">
        <v>1</v>
      </c>
      <c r="Q172" s="61" t="s">
        <v>9</v>
      </c>
      <c r="R172" s="18" t="s">
        <v>8</v>
      </c>
      <c r="S172" s="18" t="s">
        <v>9</v>
      </c>
      <c r="T172" s="97" t="s">
        <v>9</v>
      </c>
      <c r="V172" s="29">
        <v>5.4</v>
      </c>
      <c r="W172" s="22">
        <v>3.9</v>
      </c>
      <c r="X172" s="22">
        <v>1.3</v>
      </c>
      <c r="Y172" s="22">
        <v>0.4</v>
      </c>
      <c r="Z172" s="22" t="s">
        <v>0</v>
      </c>
      <c r="AA172" s="111" t="s">
        <v>8</v>
      </c>
      <c r="AB172" s="18" t="s">
        <v>10</v>
      </c>
      <c r="AC172" s="18" t="s">
        <v>8</v>
      </c>
      <c r="AD172" s="97" t="s">
        <v>8</v>
      </c>
    </row>
    <row r="173" spans="2:30">
      <c r="B173" s="29">
        <v>7.7</v>
      </c>
      <c r="C173" s="22">
        <v>2.6</v>
      </c>
      <c r="D173" s="22">
        <v>6.9</v>
      </c>
      <c r="E173" s="22">
        <v>2.2999999999999998</v>
      </c>
      <c r="F173" s="22" t="s">
        <v>2</v>
      </c>
      <c r="G173" s="51" t="s">
        <v>10</v>
      </c>
      <c r="H173" s="18" t="s">
        <v>8</v>
      </c>
      <c r="I173" s="18" t="s">
        <v>10</v>
      </c>
      <c r="J173" s="97" t="s">
        <v>10</v>
      </c>
      <c r="L173" s="29">
        <v>5.9</v>
      </c>
      <c r="M173" s="22">
        <v>3.2</v>
      </c>
      <c r="N173" s="22">
        <v>4.8</v>
      </c>
      <c r="O173" s="22">
        <v>1.8</v>
      </c>
      <c r="P173" s="22" t="s">
        <v>1</v>
      </c>
      <c r="Q173" s="61" t="s">
        <v>9</v>
      </c>
      <c r="R173" s="18" t="s">
        <v>9</v>
      </c>
      <c r="S173" s="18" t="s">
        <v>9</v>
      </c>
      <c r="T173" s="97" t="s">
        <v>10</v>
      </c>
      <c r="V173" s="31">
        <v>5.0999999999999996</v>
      </c>
      <c r="W173" s="18">
        <v>3.5</v>
      </c>
      <c r="X173" s="18">
        <v>1.4</v>
      </c>
      <c r="Y173" s="18">
        <v>0.3</v>
      </c>
      <c r="Z173" s="18" t="s">
        <v>0</v>
      </c>
      <c r="AA173" s="111" t="s">
        <v>8</v>
      </c>
      <c r="AB173" s="18" t="s">
        <v>9</v>
      </c>
      <c r="AC173" s="18" t="s">
        <v>8</v>
      </c>
      <c r="AD173" s="97" t="s">
        <v>8</v>
      </c>
    </row>
    <row r="174" spans="2:30">
      <c r="B174" s="29">
        <v>6.9</v>
      </c>
      <c r="C174" s="22">
        <v>3.2</v>
      </c>
      <c r="D174" s="22">
        <v>5.7</v>
      </c>
      <c r="E174" s="22">
        <v>2.2999999999999998</v>
      </c>
      <c r="F174" s="22" t="s">
        <v>2</v>
      </c>
      <c r="G174" s="51" t="s">
        <v>10</v>
      </c>
      <c r="H174" s="18" t="s">
        <v>9</v>
      </c>
      <c r="I174" s="18" t="s">
        <v>10</v>
      </c>
      <c r="J174" s="97" t="s">
        <v>10</v>
      </c>
      <c r="L174" s="31">
        <v>6.1</v>
      </c>
      <c r="M174" s="18">
        <v>2.8</v>
      </c>
      <c r="N174" s="18">
        <v>4</v>
      </c>
      <c r="O174" s="18">
        <v>1.3</v>
      </c>
      <c r="P174" s="18" t="s">
        <v>1</v>
      </c>
      <c r="Q174" s="61" t="s">
        <v>9</v>
      </c>
      <c r="R174" s="18" t="s">
        <v>8</v>
      </c>
      <c r="S174" s="18" t="s">
        <v>9</v>
      </c>
      <c r="T174" s="97" t="s">
        <v>9</v>
      </c>
      <c r="V174" s="31">
        <v>5.0999999999999996</v>
      </c>
      <c r="W174" s="18">
        <v>3.8</v>
      </c>
      <c r="X174" s="18">
        <v>1.5</v>
      </c>
      <c r="Y174" s="18">
        <v>0.3</v>
      </c>
      <c r="Z174" s="18" t="s">
        <v>0</v>
      </c>
      <c r="AA174" s="111" t="s">
        <v>8</v>
      </c>
      <c r="AB174" s="18" t="s">
        <v>10</v>
      </c>
      <c r="AC174" s="18" t="s">
        <v>8</v>
      </c>
      <c r="AD174" s="97" t="s">
        <v>8</v>
      </c>
    </row>
    <row r="175" spans="2:30">
      <c r="B175" s="29">
        <v>7.7</v>
      </c>
      <c r="C175" s="22">
        <v>2.8</v>
      </c>
      <c r="D175" s="22">
        <v>6.7</v>
      </c>
      <c r="E175" s="22">
        <v>2</v>
      </c>
      <c r="F175" s="22" t="s">
        <v>2</v>
      </c>
      <c r="G175" s="51" t="s">
        <v>10</v>
      </c>
      <c r="H175" s="18" t="s">
        <v>8</v>
      </c>
      <c r="I175" s="18" t="s">
        <v>10</v>
      </c>
      <c r="J175" s="97" t="s">
        <v>10</v>
      </c>
      <c r="L175" s="29">
        <v>6.3</v>
      </c>
      <c r="M175" s="22">
        <v>2.5</v>
      </c>
      <c r="N175" s="22">
        <v>4.9000000000000004</v>
      </c>
      <c r="O175" s="22">
        <v>1.5</v>
      </c>
      <c r="P175" s="22" t="s">
        <v>1</v>
      </c>
      <c r="Q175" s="61" t="s">
        <v>9</v>
      </c>
      <c r="R175" s="18" t="s">
        <v>8</v>
      </c>
      <c r="S175" s="18" t="s">
        <v>10</v>
      </c>
      <c r="T175" s="97" t="s">
        <v>9</v>
      </c>
      <c r="V175" s="29">
        <v>5.4</v>
      </c>
      <c r="W175" s="22">
        <v>3.4</v>
      </c>
      <c r="X175" s="22">
        <v>1.7</v>
      </c>
      <c r="Y175" s="22">
        <v>0.2</v>
      </c>
      <c r="Z175" s="22" t="s">
        <v>0</v>
      </c>
      <c r="AA175" s="111" t="s">
        <v>8</v>
      </c>
      <c r="AB175" s="18" t="s">
        <v>9</v>
      </c>
      <c r="AC175" s="18" t="s">
        <v>8</v>
      </c>
      <c r="AD175" s="97" t="s">
        <v>8</v>
      </c>
    </row>
    <row r="176" spans="2:30">
      <c r="B176" s="29">
        <v>6.7</v>
      </c>
      <c r="C176" s="22">
        <v>3.3</v>
      </c>
      <c r="D176" s="22">
        <v>5.7</v>
      </c>
      <c r="E176" s="22">
        <v>2.1</v>
      </c>
      <c r="F176" s="22" t="s">
        <v>2</v>
      </c>
      <c r="G176" s="51" t="s">
        <v>10</v>
      </c>
      <c r="H176" s="18" t="s">
        <v>9</v>
      </c>
      <c r="I176" s="18" t="s">
        <v>10</v>
      </c>
      <c r="J176" s="97" t="s">
        <v>10</v>
      </c>
      <c r="L176" s="31">
        <v>6.1</v>
      </c>
      <c r="M176" s="18">
        <v>2.8</v>
      </c>
      <c r="N176" s="18">
        <v>4.7</v>
      </c>
      <c r="O176" s="18">
        <v>1.2</v>
      </c>
      <c r="P176" s="18" t="s">
        <v>1</v>
      </c>
      <c r="Q176" s="61" t="s">
        <v>9</v>
      </c>
      <c r="R176" s="18" t="s">
        <v>8</v>
      </c>
      <c r="S176" s="18" t="s">
        <v>9</v>
      </c>
      <c r="T176" s="97" t="s">
        <v>9</v>
      </c>
      <c r="V176" s="31">
        <v>5.0999999999999996</v>
      </c>
      <c r="W176" s="18">
        <v>3.7</v>
      </c>
      <c r="X176" s="18">
        <v>1.5</v>
      </c>
      <c r="Y176" s="18">
        <v>0.4</v>
      </c>
      <c r="Z176" s="18" t="s">
        <v>0</v>
      </c>
      <c r="AA176" s="111" t="s">
        <v>8</v>
      </c>
      <c r="AB176" s="18" t="s">
        <v>10</v>
      </c>
      <c r="AC176" s="18" t="s">
        <v>8</v>
      </c>
      <c r="AD176" s="97" t="s">
        <v>8</v>
      </c>
    </row>
    <row r="177" spans="2:30">
      <c r="B177" s="31">
        <v>7.2</v>
      </c>
      <c r="C177" s="18">
        <v>3.2</v>
      </c>
      <c r="D177" s="18">
        <v>6</v>
      </c>
      <c r="E177" s="18">
        <v>1.8</v>
      </c>
      <c r="F177" s="18" t="s">
        <v>2</v>
      </c>
      <c r="G177" s="51" t="s">
        <v>10</v>
      </c>
      <c r="H177" s="18" t="s">
        <v>9</v>
      </c>
      <c r="I177" s="18" t="s">
        <v>10</v>
      </c>
      <c r="J177" s="97" t="s">
        <v>10</v>
      </c>
      <c r="L177" s="29">
        <v>6.4</v>
      </c>
      <c r="M177" s="22">
        <v>2.9</v>
      </c>
      <c r="N177" s="22">
        <v>4.3</v>
      </c>
      <c r="O177" s="22">
        <v>1.3</v>
      </c>
      <c r="P177" s="22" t="s">
        <v>1</v>
      </c>
      <c r="Q177" s="61" t="s">
        <v>9</v>
      </c>
      <c r="R177" s="18" t="s">
        <v>8</v>
      </c>
      <c r="S177" s="18" t="s">
        <v>9</v>
      </c>
      <c r="T177" s="97" t="s">
        <v>9</v>
      </c>
      <c r="V177" s="29">
        <v>4.5999999999999996</v>
      </c>
      <c r="W177" s="22">
        <v>3.6</v>
      </c>
      <c r="X177" s="22">
        <v>1</v>
      </c>
      <c r="Y177" s="22">
        <v>0.2</v>
      </c>
      <c r="Z177" s="22" t="s">
        <v>0</v>
      </c>
      <c r="AA177" s="111" t="s">
        <v>8</v>
      </c>
      <c r="AB177" s="18" t="s">
        <v>10</v>
      </c>
      <c r="AC177" s="18" t="s">
        <v>8</v>
      </c>
      <c r="AD177" s="97" t="s">
        <v>8</v>
      </c>
    </row>
    <row r="178" spans="2:30">
      <c r="B178" s="31">
        <v>7.2</v>
      </c>
      <c r="C178" s="18">
        <v>3</v>
      </c>
      <c r="D178" s="18">
        <v>5.8</v>
      </c>
      <c r="E178" s="18">
        <v>1.6</v>
      </c>
      <c r="F178" s="18" t="s">
        <v>2</v>
      </c>
      <c r="G178" s="51" t="s">
        <v>10</v>
      </c>
      <c r="H178" s="18" t="s">
        <v>9</v>
      </c>
      <c r="I178" s="18" t="s">
        <v>10</v>
      </c>
      <c r="J178" s="97" t="s">
        <v>9</v>
      </c>
      <c r="L178" s="29">
        <v>6</v>
      </c>
      <c r="M178" s="22">
        <v>2.9</v>
      </c>
      <c r="N178" s="22">
        <v>4.5</v>
      </c>
      <c r="O178" s="22">
        <v>1.5</v>
      </c>
      <c r="P178" s="22" t="s">
        <v>1</v>
      </c>
      <c r="Q178" s="61" t="s">
        <v>9</v>
      </c>
      <c r="R178" s="18" t="s">
        <v>8</v>
      </c>
      <c r="S178" s="18" t="s">
        <v>9</v>
      </c>
      <c r="T178" s="97" t="s">
        <v>9</v>
      </c>
      <c r="V178" s="31">
        <v>5.0999999999999996</v>
      </c>
      <c r="W178" s="18">
        <v>3.3</v>
      </c>
      <c r="X178" s="18">
        <v>1.7</v>
      </c>
      <c r="Y178" s="18">
        <v>0.5</v>
      </c>
      <c r="Z178" s="18" t="s">
        <v>0</v>
      </c>
      <c r="AA178" s="111" t="s">
        <v>8</v>
      </c>
      <c r="AB178" s="18" t="s">
        <v>9</v>
      </c>
      <c r="AC178" s="18" t="s">
        <v>8</v>
      </c>
      <c r="AD178" s="97" t="s">
        <v>8</v>
      </c>
    </row>
    <row r="179" spans="2:30">
      <c r="B179" s="29">
        <v>7.4</v>
      </c>
      <c r="C179" s="22">
        <v>2.8</v>
      </c>
      <c r="D179" s="22">
        <v>6.1</v>
      </c>
      <c r="E179" s="22">
        <v>1.9</v>
      </c>
      <c r="F179" s="22" t="s">
        <v>2</v>
      </c>
      <c r="G179" s="51" t="s">
        <v>10</v>
      </c>
      <c r="H179" s="18" t="s">
        <v>8</v>
      </c>
      <c r="I179" s="18" t="s">
        <v>10</v>
      </c>
      <c r="J179" s="97" t="s">
        <v>10</v>
      </c>
      <c r="L179" s="31">
        <v>5.7</v>
      </c>
      <c r="M179" s="18">
        <v>2.6</v>
      </c>
      <c r="N179" s="18">
        <v>3.5</v>
      </c>
      <c r="O179" s="18">
        <v>1</v>
      </c>
      <c r="P179" s="18" t="s">
        <v>1</v>
      </c>
      <c r="Q179" s="61" t="s">
        <v>9</v>
      </c>
      <c r="R179" s="18" t="s">
        <v>8</v>
      </c>
      <c r="S179" s="18" t="s">
        <v>9</v>
      </c>
      <c r="T179" s="97" t="s">
        <v>9</v>
      </c>
      <c r="V179" s="29">
        <v>4.8</v>
      </c>
      <c r="W179" s="22">
        <v>3.4</v>
      </c>
      <c r="X179" s="22">
        <v>1.9</v>
      </c>
      <c r="Y179" s="22">
        <v>0.2</v>
      </c>
      <c r="Z179" s="22" t="s">
        <v>0</v>
      </c>
      <c r="AA179" s="111" t="s">
        <v>8</v>
      </c>
      <c r="AB179" s="18" t="s">
        <v>9</v>
      </c>
      <c r="AC179" s="18" t="s">
        <v>8</v>
      </c>
      <c r="AD179" s="97" t="s">
        <v>8</v>
      </c>
    </row>
    <row r="180" spans="2:30">
      <c r="B180" s="31">
        <v>7.9</v>
      </c>
      <c r="C180" s="18">
        <v>3.8</v>
      </c>
      <c r="D180" s="18">
        <v>6.4</v>
      </c>
      <c r="E180" s="18">
        <v>2</v>
      </c>
      <c r="F180" s="18" t="s">
        <v>2</v>
      </c>
      <c r="G180" s="51" t="s">
        <v>10</v>
      </c>
      <c r="H180" s="18" t="s">
        <v>10</v>
      </c>
      <c r="I180" s="18" t="s">
        <v>10</v>
      </c>
      <c r="J180" s="97" t="s">
        <v>10</v>
      </c>
      <c r="L180" s="29">
        <v>5.8</v>
      </c>
      <c r="M180" s="22">
        <v>2.7</v>
      </c>
      <c r="N180" s="22">
        <v>3.9</v>
      </c>
      <c r="O180" s="22">
        <v>1.2</v>
      </c>
      <c r="P180" s="22" t="s">
        <v>1</v>
      </c>
      <c r="Q180" s="61" t="s">
        <v>9</v>
      </c>
      <c r="R180" s="18" t="s">
        <v>8</v>
      </c>
      <c r="S180" s="18" t="s">
        <v>9</v>
      </c>
      <c r="T180" s="97" t="s">
        <v>9</v>
      </c>
      <c r="V180" s="31">
        <v>5</v>
      </c>
      <c r="W180" s="18">
        <v>3</v>
      </c>
      <c r="X180" s="18">
        <v>1.6</v>
      </c>
      <c r="Y180" s="18">
        <v>0.2</v>
      </c>
      <c r="Z180" s="18" t="s">
        <v>0</v>
      </c>
      <c r="AA180" s="111" t="s">
        <v>8</v>
      </c>
      <c r="AB180" s="18" t="s">
        <v>9</v>
      </c>
      <c r="AC180" s="18" t="s">
        <v>8</v>
      </c>
      <c r="AD180" s="97" t="s">
        <v>8</v>
      </c>
    </row>
    <row r="181" spans="2:30">
      <c r="B181" s="31">
        <v>7.7</v>
      </c>
      <c r="C181" s="18">
        <v>3</v>
      </c>
      <c r="D181" s="18">
        <v>6.1</v>
      </c>
      <c r="E181" s="18">
        <v>2.2999999999999998</v>
      </c>
      <c r="F181" s="18" t="s">
        <v>2</v>
      </c>
      <c r="G181" s="51" t="s">
        <v>10</v>
      </c>
      <c r="H181" s="18" t="s">
        <v>9</v>
      </c>
      <c r="I181" s="18" t="s">
        <v>10</v>
      </c>
      <c r="J181" s="97" t="s">
        <v>10</v>
      </c>
      <c r="L181" s="31">
        <v>6</v>
      </c>
      <c r="M181" s="18">
        <v>2.7</v>
      </c>
      <c r="N181" s="18">
        <v>5.0999999999999996</v>
      </c>
      <c r="O181" s="18">
        <v>1.6</v>
      </c>
      <c r="P181" s="18" t="s">
        <v>1</v>
      </c>
      <c r="Q181" s="61" t="s">
        <v>9</v>
      </c>
      <c r="R181" s="18" t="s">
        <v>8</v>
      </c>
      <c r="S181" s="18" t="s">
        <v>10</v>
      </c>
      <c r="T181" s="97" t="s">
        <v>9</v>
      </c>
      <c r="V181" s="29">
        <v>5</v>
      </c>
      <c r="W181" s="22">
        <v>3.4</v>
      </c>
      <c r="X181" s="22">
        <v>1.6</v>
      </c>
      <c r="Y181" s="22">
        <v>0.4</v>
      </c>
      <c r="Z181" s="22" t="s">
        <v>0</v>
      </c>
      <c r="AA181" s="111" t="s">
        <v>8</v>
      </c>
      <c r="AB181" s="18" t="s">
        <v>9</v>
      </c>
      <c r="AC181" s="18" t="s">
        <v>8</v>
      </c>
      <c r="AD181" s="97" t="s">
        <v>8</v>
      </c>
    </row>
    <row r="182" spans="2:30">
      <c r="B182" s="31">
        <v>6.9</v>
      </c>
      <c r="C182" s="18">
        <v>3.1</v>
      </c>
      <c r="D182" s="18">
        <v>5.4</v>
      </c>
      <c r="E182" s="18">
        <v>2.1</v>
      </c>
      <c r="F182" s="18" t="s">
        <v>2</v>
      </c>
      <c r="G182" s="51" t="s">
        <v>10</v>
      </c>
      <c r="H182" s="18" t="s">
        <v>9</v>
      </c>
      <c r="I182" s="18" t="s">
        <v>10</v>
      </c>
      <c r="J182" s="97" t="s">
        <v>10</v>
      </c>
      <c r="L182" s="31">
        <v>6</v>
      </c>
      <c r="M182" s="18">
        <v>3.4</v>
      </c>
      <c r="N182" s="18">
        <v>4.5</v>
      </c>
      <c r="O182" s="18">
        <v>1.6</v>
      </c>
      <c r="P182" s="18" t="s">
        <v>1</v>
      </c>
      <c r="Q182" s="61" t="s">
        <v>9</v>
      </c>
      <c r="R182" s="18" t="s">
        <v>9</v>
      </c>
      <c r="S182" s="18" t="s">
        <v>9</v>
      </c>
      <c r="T182" s="97" t="s">
        <v>9</v>
      </c>
      <c r="V182" s="31">
        <v>5.2</v>
      </c>
      <c r="W182" s="18">
        <v>3.5</v>
      </c>
      <c r="X182" s="18">
        <v>1.5</v>
      </c>
      <c r="Y182" s="18">
        <v>0.2</v>
      </c>
      <c r="Z182" s="18" t="s">
        <v>0</v>
      </c>
      <c r="AA182" s="111" t="s">
        <v>8</v>
      </c>
      <c r="AB182" s="18" t="s">
        <v>9</v>
      </c>
      <c r="AC182" s="18" t="s">
        <v>8</v>
      </c>
      <c r="AD182" s="97" t="s">
        <v>8</v>
      </c>
    </row>
    <row r="183" spans="2:30">
      <c r="B183" s="29">
        <v>6.7</v>
      </c>
      <c r="C183" s="22">
        <v>3.1</v>
      </c>
      <c r="D183" s="22">
        <v>5.6</v>
      </c>
      <c r="E183" s="22">
        <v>2.4</v>
      </c>
      <c r="F183" s="22" t="s">
        <v>2</v>
      </c>
      <c r="G183" s="51" t="s">
        <v>10</v>
      </c>
      <c r="H183" s="18" t="s">
        <v>9</v>
      </c>
      <c r="I183" s="18" t="s">
        <v>10</v>
      </c>
      <c r="J183" s="97" t="s">
        <v>10</v>
      </c>
      <c r="L183" s="31">
        <v>6.3</v>
      </c>
      <c r="M183" s="18">
        <v>2.2999999999999998</v>
      </c>
      <c r="N183" s="18">
        <v>4.4000000000000004</v>
      </c>
      <c r="O183" s="18">
        <v>1.3</v>
      </c>
      <c r="P183" s="18" t="s">
        <v>1</v>
      </c>
      <c r="Q183" s="61" t="s">
        <v>9</v>
      </c>
      <c r="R183" s="18" t="s">
        <v>8</v>
      </c>
      <c r="S183" s="18" t="s">
        <v>9</v>
      </c>
      <c r="T183" s="97" t="s">
        <v>9</v>
      </c>
      <c r="V183" s="29">
        <v>5.2</v>
      </c>
      <c r="W183" s="22">
        <v>3.4</v>
      </c>
      <c r="X183" s="22">
        <v>1.4</v>
      </c>
      <c r="Y183" s="22">
        <v>0.2</v>
      </c>
      <c r="Z183" s="22" t="s">
        <v>0</v>
      </c>
      <c r="AA183" s="111" t="s">
        <v>8</v>
      </c>
      <c r="AB183" s="18" t="s">
        <v>9</v>
      </c>
      <c r="AC183" s="18" t="s">
        <v>8</v>
      </c>
      <c r="AD183" s="97" t="s">
        <v>8</v>
      </c>
    </row>
    <row r="184" spans="2:30">
      <c r="B184" s="31">
        <v>6.9</v>
      </c>
      <c r="C184" s="18">
        <v>3.1</v>
      </c>
      <c r="D184" s="18">
        <v>5.0999999999999996</v>
      </c>
      <c r="E184" s="18">
        <v>2.2999999999999998</v>
      </c>
      <c r="F184" s="18" t="s">
        <v>2</v>
      </c>
      <c r="G184" s="51" t="s">
        <v>10</v>
      </c>
      <c r="H184" s="18" t="s">
        <v>9</v>
      </c>
      <c r="I184" s="18" t="s">
        <v>10</v>
      </c>
      <c r="J184" s="97" t="s">
        <v>10</v>
      </c>
      <c r="L184" s="29">
        <v>5.6</v>
      </c>
      <c r="M184" s="22">
        <v>3</v>
      </c>
      <c r="N184" s="22">
        <v>4.0999999999999996</v>
      </c>
      <c r="O184" s="22">
        <v>1.3</v>
      </c>
      <c r="P184" s="22" t="s">
        <v>1</v>
      </c>
      <c r="Q184" s="61" t="s">
        <v>9</v>
      </c>
      <c r="R184" s="18" t="s">
        <v>9</v>
      </c>
      <c r="S184" s="18" t="s">
        <v>9</v>
      </c>
      <c r="T184" s="97" t="s">
        <v>9</v>
      </c>
      <c r="V184" s="31">
        <v>4.7</v>
      </c>
      <c r="W184" s="18">
        <v>3.2</v>
      </c>
      <c r="X184" s="18">
        <v>1.6</v>
      </c>
      <c r="Y184" s="18">
        <v>0.2</v>
      </c>
      <c r="Z184" s="18" t="s">
        <v>0</v>
      </c>
      <c r="AA184" s="111" t="s">
        <v>8</v>
      </c>
      <c r="AB184" s="18" t="s">
        <v>9</v>
      </c>
      <c r="AC184" s="18" t="s">
        <v>8</v>
      </c>
      <c r="AD184" s="97" t="s">
        <v>8</v>
      </c>
    </row>
    <row r="185" spans="2:30">
      <c r="B185" s="31">
        <v>6.8</v>
      </c>
      <c r="C185" s="18">
        <v>3.2</v>
      </c>
      <c r="D185" s="18">
        <v>5.9</v>
      </c>
      <c r="E185" s="18">
        <v>2.2999999999999998</v>
      </c>
      <c r="F185" s="18" t="s">
        <v>2</v>
      </c>
      <c r="G185" s="51" t="s">
        <v>10</v>
      </c>
      <c r="H185" s="18" t="s">
        <v>9</v>
      </c>
      <c r="I185" s="18" t="s">
        <v>10</v>
      </c>
      <c r="J185" s="97" t="s">
        <v>10</v>
      </c>
      <c r="L185" s="31">
        <v>6.1</v>
      </c>
      <c r="M185" s="18">
        <v>3</v>
      </c>
      <c r="N185" s="18">
        <v>4.5999999999999996</v>
      </c>
      <c r="O185" s="18">
        <v>1.4</v>
      </c>
      <c r="P185" s="18" t="s">
        <v>1</v>
      </c>
      <c r="Q185" s="61" t="s">
        <v>9</v>
      </c>
      <c r="R185" s="18" t="s">
        <v>9</v>
      </c>
      <c r="S185" s="18" t="s">
        <v>9</v>
      </c>
      <c r="T185" s="97" t="s">
        <v>9</v>
      </c>
      <c r="V185" s="29">
        <v>4.8</v>
      </c>
      <c r="W185" s="22">
        <v>3.1</v>
      </c>
      <c r="X185" s="22">
        <v>1.6</v>
      </c>
      <c r="Y185" s="22">
        <v>0.2</v>
      </c>
      <c r="Z185" s="22" t="s">
        <v>0</v>
      </c>
      <c r="AA185" s="111" t="s">
        <v>8</v>
      </c>
      <c r="AB185" s="18" t="s">
        <v>9</v>
      </c>
      <c r="AC185" s="18" t="s">
        <v>8</v>
      </c>
      <c r="AD185" s="97" t="s">
        <v>8</v>
      </c>
    </row>
    <row r="186" spans="2:30">
      <c r="B186" s="29">
        <v>6.7</v>
      </c>
      <c r="C186" s="22">
        <v>3.3</v>
      </c>
      <c r="D186" s="22">
        <v>5.7</v>
      </c>
      <c r="E186" s="22">
        <v>2.5</v>
      </c>
      <c r="F186" s="22" t="s">
        <v>2</v>
      </c>
      <c r="G186" s="51" t="s">
        <v>10</v>
      </c>
      <c r="H186" s="18" t="s">
        <v>9</v>
      </c>
      <c r="I186" s="18" t="s">
        <v>10</v>
      </c>
      <c r="J186" s="97" t="s">
        <v>10</v>
      </c>
      <c r="L186" s="29">
        <v>5.8</v>
      </c>
      <c r="M186" s="22">
        <v>2.6</v>
      </c>
      <c r="N186" s="22">
        <v>4</v>
      </c>
      <c r="O186" s="22">
        <v>1.2</v>
      </c>
      <c r="P186" s="22" t="s">
        <v>1</v>
      </c>
      <c r="Q186" s="61" t="s">
        <v>9</v>
      </c>
      <c r="R186" s="18" t="s">
        <v>8</v>
      </c>
      <c r="S186" s="18" t="s">
        <v>9</v>
      </c>
      <c r="T186" s="97" t="s">
        <v>9</v>
      </c>
      <c r="V186" s="31">
        <v>5.4</v>
      </c>
      <c r="W186" s="18">
        <v>3.4</v>
      </c>
      <c r="X186" s="18">
        <v>1.5</v>
      </c>
      <c r="Y186" s="18">
        <v>0.4</v>
      </c>
      <c r="Z186" s="18" t="s">
        <v>0</v>
      </c>
      <c r="AA186" s="111" t="s">
        <v>8</v>
      </c>
      <c r="AB186" s="18" t="s">
        <v>9</v>
      </c>
      <c r="AC186" s="18" t="s">
        <v>8</v>
      </c>
      <c r="AD186" s="97" t="s">
        <v>8</v>
      </c>
    </row>
    <row r="187" spans="2:30">
      <c r="B187" s="80">
        <v>6.7</v>
      </c>
      <c r="C187" s="47">
        <v>3</v>
      </c>
      <c r="D187" s="47">
        <v>5.2</v>
      </c>
      <c r="E187" s="47">
        <v>2.2999999999999998</v>
      </c>
      <c r="F187" s="47" t="s">
        <v>2</v>
      </c>
      <c r="G187" s="54" t="s">
        <v>10</v>
      </c>
      <c r="H187" s="47" t="s">
        <v>9</v>
      </c>
      <c r="I187" s="47" t="s">
        <v>10</v>
      </c>
      <c r="J187" s="98" t="s">
        <v>10</v>
      </c>
      <c r="L187" s="29">
        <v>5.6</v>
      </c>
      <c r="M187" s="22">
        <v>2.7</v>
      </c>
      <c r="N187" s="22">
        <v>4.2</v>
      </c>
      <c r="O187" s="22">
        <v>1.3</v>
      </c>
      <c r="P187" s="22" t="s">
        <v>1</v>
      </c>
      <c r="Q187" s="61" t="s">
        <v>9</v>
      </c>
      <c r="R187" s="18" t="s">
        <v>8</v>
      </c>
      <c r="S187" s="18" t="s">
        <v>9</v>
      </c>
      <c r="T187" s="97" t="s">
        <v>9</v>
      </c>
      <c r="V187" s="29">
        <v>5.2</v>
      </c>
      <c r="W187" s="22">
        <v>4.0999999999999996</v>
      </c>
      <c r="X187" s="22">
        <v>1.5</v>
      </c>
      <c r="Y187" s="22">
        <v>0.1</v>
      </c>
      <c r="Z187" s="22" t="s">
        <v>0</v>
      </c>
      <c r="AA187" s="111" t="s">
        <v>8</v>
      </c>
      <c r="AB187" s="18" t="s">
        <v>10</v>
      </c>
      <c r="AC187" s="18" t="s">
        <v>8</v>
      </c>
      <c r="AD187" s="97" t="s">
        <v>8</v>
      </c>
    </row>
    <row r="188" spans="2:30">
      <c r="L188" s="31">
        <v>5.7</v>
      </c>
      <c r="M188" s="18">
        <v>3</v>
      </c>
      <c r="N188" s="18">
        <v>4.2</v>
      </c>
      <c r="O188" s="18">
        <v>1.2</v>
      </c>
      <c r="P188" s="18" t="s">
        <v>1</v>
      </c>
      <c r="Q188" s="61" t="s">
        <v>9</v>
      </c>
      <c r="R188" s="18" t="s">
        <v>9</v>
      </c>
      <c r="S188" s="18" t="s">
        <v>9</v>
      </c>
      <c r="T188" s="97" t="s">
        <v>9</v>
      </c>
      <c r="V188" s="31">
        <v>5.5</v>
      </c>
      <c r="W188" s="18">
        <v>4.2</v>
      </c>
      <c r="X188" s="18">
        <v>1.4</v>
      </c>
      <c r="Y188" s="18">
        <v>0.2</v>
      </c>
      <c r="Z188" s="18" t="s">
        <v>0</v>
      </c>
      <c r="AA188" s="111" t="s">
        <v>8</v>
      </c>
      <c r="AB188" s="18" t="s">
        <v>10</v>
      </c>
      <c r="AC188" s="18" t="s">
        <v>8</v>
      </c>
      <c r="AD188" s="97" t="s">
        <v>8</v>
      </c>
    </row>
    <row r="189" spans="2:30">
      <c r="L189" s="29">
        <v>5.7</v>
      </c>
      <c r="M189" s="22">
        <v>2.9</v>
      </c>
      <c r="N189" s="22">
        <v>4.2</v>
      </c>
      <c r="O189" s="22">
        <v>1.3</v>
      </c>
      <c r="P189" s="22" t="s">
        <v>1</v>
      </c>
      <c r="Q189" s="61" t="s">
        <v>9</v>
      </c>
      <c r="R189" s="18" t="s">
        <v>8</v>
      </c>
      <c r="S189" s="18" t="s">
        <v>9</v>
      </c>
      <c r="T189" s="97" t="s">
        <v>9</v>
      </c>
      <c r="V189" s="29">
        <v>4.9000000000000004</v>
      </c>
      <c r="W189" s="22">
        <v>3.1</v>
      </c>
      <c r="X189" s="22">
        <v>1.5</v>
      </c>
      <c r="Y189" s="22">
        <v>0.1</v>
      </c>
      <c r="Z189" s="22" t="s">
        <v>0</v>
      </c>
      <c r="AA189" s="111" t="s">
        <v>8</v>
      </c>
      <c r="AB189" s="18" t="s">
        <v>9</v>
      </c>
      <c r="AC189" s="18" t="s">
        <v>8</v>
      </c>
      <c r="AD189" s="97" t="s">
        <v>8</v>
      </c>
    </row>
    <row r="190" spans="2:30">
      <c r="L190" s="31">
        <v>6.2</v>
      </c>
      <c r="M190" s="18">
        <v>2.9</v>
      </c>
      <c r="N190" s="18">
        <v>4.3</v>
      </c>
      <c r="O190" s="18">
        <v>1.3</v>
      </c>
      <c r="P190" s="18" t="s">
        <v>1</v>
      </c>
      <c r="Q190" s="61" t="s">
        <v>9</v>
      </c>
      <c r="R190" s="18" t="s">
        <v>8</v>
      </c>
      <c r="S190" s="18" t="s">
        <v>9</v>
      </c>
      <c r="T190" s="97" t="s">
        <v>9</v>
      </c>
      <c r="V190" s="31">
        <v>5</v>
      </c>
      <c r="W190" s="18">
        <v>3.2</v>
      </c>
      <c r="X190" s="18">
        <v>1.2</v>
      </c>
      <c r="Y190" s="18">
        <v>0.2</v>
      </c>
      <c r="Z190" s="18" t="s">
        <v>0</v>
      </c>
      <c r="AA190" s="111" t="s">
        <v>8</v>
      </c>
      <c r="AB190" s="18" t="s">
        <v>9</v>
      </c>
      <c r="AC190" s="18" t="s">
        <v>8</v>
      </c>
      <c r="AD190" s="97" t="s">
        <v>8</v>
      </c>
    </row>
    <row r="191" spans="2:30">
      <c r="L191" s="31">
        <v>5.7</v>
      </c>
      <c r="M191" s="18">
        <v>2.8</v>
      </c>
      <c r="N191" s="18">
        <v>4.0999999999999996</v>
      </c>
      <c r="O191" s="18">
        <v>1.3</v>
      </c>
      <c r="P191" s="18" t="s">
        <v>1</v>
      </c>
      <c r="Q191" s="61" t="s">
        <v>9</v>
      </c>
      <c r="R191" s="18" t="s">
        <v>8</v>
      </c>
      <c r="S191" s="18" t="s">
        <v>9</v>
      </c>
      <c r="T191" s="97" t="s">
        <v>9</v>
      </c>
      <c r="V191" s="29">
        <v>5.5</v>
      </c>
      <c r="W191" s="22">
        <v>3.5</v>
      </c>
      <c r="X191" s="22">
        <v>1.3</v>
      </c>
      <c r="Y191" s="22">
        <v>0.2</v>
      </c>
      <c r="Z191" s="22" t="s">
        <v>0</v>
      </c>
      <c r="AA191" s="111" t="s">
        <v>8</v>
      </c>
      <c r="AB191" s="18" t="s">
        <v>9</v>
      </c>
      <c r="AC191" s="18" t="s">
        <v>8</v>
      </c>
      <c r="AD191" s="97" t="s">
        <v>8</v>
      </c>
    </row>
    <row r="192" spans="2:30">
      <c r="L192" s="29">
        <v>6.3</v>
      </c>
      <c r="M192" s="22">
        <v>3.3</v>
      </c>
      <c r="N192" s="22">
        <v>6</v>
      </c>
      <c r="O192" s="22">
        <v>2.5</v>
      </c>
      <c r="P192" s="22" t="s">
        <v>2</v>
      </c>
      <c r="Q192" s="61" t="s">
        <v>9</v>
      </c>
      <c r="R192" s="18" t="s">
        <v>9</v>
      </c>
      <c r="S192" s="18" t="s">
        <v>10</v>
      </c>
      <c r="T192" s="97" t="s">
        <v>10</v>
      </c>
      <c r="V192" s="31">
        <v>4.9000000000000004</v>
      </c>
      <c r="W192" s="18">
        <v>3.1</v>
      </c>
      <c r="X192" s="18">
        <v>1.5</v>
      </c>
      <c r="Y192" s="18">
        <v>0.1</v>
      </c>
      <c r="Z192" s="18" t="s">
        <v>0</v>
      </c>
      <c r="AA192" s="111" t="s">
        <v>8</v>
      </c>
      <c r="AB192" s="18" t="s">
        <v>10</v>
      </c>
      <c r="AC192" s="18" t="s">
        <v>8</v>
      </c>
      <c r="AD192" s="97" t="s">
        <v>8</v>
      </c>
    </row>
    <row r="193" spans="12:30">
      <c r="L193" s="31">
        <v>5.8</v>
      </c>
      <c r="M193" s="18">
        <v>2.7</v>
      </c>
      <c r="N193" s="18">
        <v>5.0999999999999996</v>
      </c>
      <c r="O193" s="18">
        <v>1.9</v>
      </c>
      <c r="P193" s="18" t="s">
        <v>2</v>
      </c>
      <c r="Q193" s="61" t="s">
        <v>9</v>
      </c>
      <c r="R193" s="18" t="s">
        <v>8</v>
      </c>
      <c r="S193" s="18" t="s">
        <v>10</v>
      </c>
      <c r="T193" s="97" t="s">
        <v>10</v>
      </c>
      <c r="V193" s="29">
        <v>4.4000000000000004</v>
      </c>
      <c r="W193" s="22">
        <v>3</v>
      </c>
      <c r="X193" s="22">
        <v>1.3</v>
      </c>
      <c r="Y193" s="22">
        <v>0.2</v>
      </c>
      <c r="Z193" s="22" t="s">
        <v>0</v>
      </c>
      <c r="AA193" s="111" t="s">
        <v>8</v>
      </c>
      <c r="AB193" s="18" t="s">
        <v>9</v>
      </c>
      <c r="AC193" s="18" t="s">
        <v>8</v>
      </c>
      <c r="AD193" s="97" t="s">
        <v>8</v>
      </c>
    </row>
    <row r="194" spans="12:30">
      <c r="L194" s="31">
        <v>6.3</v>
      </c>
      <c r="M194" s="18">
        <v>2.9</v>
      </c>
      <c r="N194" s="18">
        <v>5.6</v>
      </c>
      <c r="O194" s="18">
        <v>1.8</v>
      </c>
      <c r="P194" s="18" t="s">
        <v>2</v>
      </c>
      <c r="Q194" s="61" t="s">
        <v>9</v>
      </c>
      <c r="R194" s="18" t="s">
        <v>8</v>
      </c>
      <c r="S194" s="18" t="s">
        <v>10</v>
      </c>
      <c r="T194" s="97" t="s">
        <v>10</v>
      </c>
      <c r="V194" s="31">
        <v>5.0999999999999996</v>
      </c>
      <c r="W194" s="18">
        <v>3.4</v>
      </c>
      <c r="X194" s="18">
        <v>1.5</v>
      </c>
      <c r="Y194" s="18">
        <v>0.2</v>
      </c>
      <c r="Z194" s="18" t="s">
        <v>0</v>
      </c>
      <c r="AA194" s="111" t="s">
        <v>8</v>
      </c>
      <c r="AB194" s="18" t="s">
        <v>9</v>
      </c>
      <c r="AC194" s="18" t="s">
        <v>8</v>
      </c>
      <c r="AD194" s="97" t="s">
        <v>8</v>
      </c>
    </row>
    <row r="195" spans="12:30">
      <c r="L195" s="29">
        <v>6.5</v>
      </c>
      <c r="M195" s="22">
        <v>3</v>
      </c>
      <c r="N195" s="22">
        <v>5.8</v>
      </c>
      <c r="O195" s="22">
        <v>2.2000000000000002</v>
      </c>
      <c r="P195" s="22" t="s">
        <v>2</v>
      </c>
      <c r="Q195" s="61" t="s">
        <v>9</v>
      </c>
      <c r="R195" s="18" t="s">
        <v>9</v>
      </c>
      <c r="S195" s="18" t="s">
        <v>10</v>
      </c>
      <c r="T195" s="97" t="s">
        <v>10</v>
      </c>
      <c r="V195" s="29">
        <v>5</v>
      </c>
      <c r="W195" s="22">
        <v>3.5</v>
      </c>
      <c r="X195" s="22">
        <v>1.3</v>
      </c>
      <c r="Y195" s="22">
        <v>0.3</v>
      </c>
      <c r="Z195" s="22" t="s">
        <v>0</v>
      </c>
      <c r="AA195" s="111" t="s">
        <v>8</v>
      </c>
      <c r="AB195" s="18" t="s">
        <v>9</v>
      </c>
      <c r="AC195" s="18" t="s">
        <v>8</v>
      </c>
      <c r="AD195" s="97" t="s">
        <v>8</v>
      </c>
    </row>
    <row r="196" spans="12:30">
      <c r="L196" s="29">
        <v>6.5</v>
      </c>
      <c r="M196" s="22">
        <v>3.2</v>
      </c>
      <c r="N196" s="22">
        <v>5.0999999999999996</v>
      </c>
      <c r="O196" s="22">
        <v>2</v>
      </c>
      <c r="P196" s="22" t="s">
        <v>2</v>
      </c>
      <c r="Q196" s="61" t="s">
        <v>9</v>
      </c>
      <c r="R196" s="18" t="s">
        <v>9</v>
      </c>
      <c r="S196" s="18" t="s">
        <v>10</v>
      </c>
      <c r="T196" s="97" t="s">
        <v>10</v>
      </c>
      <c r="V196" s="31">
        <v>4.5</v>
      </c>
      <c r="W196" s="18">
        <v>2.2999999999999998</v>
      </c>
      <c r="X196" s="18">
        <v>1.3</v>
      </c>
      <c r="Y196" s="18">
        <v>0.3</v>
      </c>
      <c r="Z196" s="18" t="s">
        <v>0</v>
      </c>
      <c r="AA196" s="111" t="s">
        <v>8</v>
      </c>
      <c r="AB196" s="18" t="s">
        <v>8</v>
      </c>
      <c r="AC196" s="18" t="s">
        <v>8</v>
      </c>
      <c r="AD196" s="97" t="s">
        <v>8</v>
      </c>
    </row>
    <row r="197" spans="12:30">
      <c r="L197" s="31">
        <v>6.4</v>
      </c>
      <c r="M197" s="18">
        <v>2.7</v>
      </c>
      <c r="N197" s="18">
        <v>5.3</v>
      </c>
      <c r="O197" s="18">
        <v>1.9</v>
      </c>
      <c r="P197" s="18" t="s">
        <v>2</v>
      </c>
      <c r="Q197" s="61" t="s">
        <v>9</v>
      </c>
      <c r="R197" s="18" t="s">
        <v>8</v>
      </c>
      <c r="S197" s="18" t="s">
        <v>10</v>
      </c>
      <c r="T197" s="97" t="s">
        <v>10</v>
      </c>
      <c r="V197" s="29">
        <v>4.4000000000000004</v>
      </c>
      <c r="W197" s="22">
        <v>3.2</v>
      </c>
      <c r="X197" s="22">
        <v>1.3</v>
      </c>
      <c r="Y197" s="22">
        <v>0.2</v>
      </c>
      <c r="Z197" s="22" t="s">
        <v>0</v>
      </c>
      <c r="AA197" s="111" t="s">
        <v>8</v>
      </c>
      <c r="AB197" s="18" t="s">
        <v>9</v>
      </c>
      <c r="AC197" s="18" t="s">
        <v>8</v>
      </c>
      <c r="AD197" s="97" t="s">
        <v>8</v>
      </c>
    </row>
    <row r="198" spans="12:30">
      <c r="L198" s="31">
        <v>5.7</v>
      </c>
      <c r="M198" s="18">
        <v>2.5</v>
      </c>
      <c r="N198" s="18">
        <v>5</v>
      </c>
      <c r="O198" s="18">
        <v>2</v>
      </c>
      <c r="P198" s="18" t="s">
        <v>2</v>
      </c>
      <c r="Q198" s="61" t="s">
        <v>9</v>
      </c>
      <c r="R198" s="18" t="s">
        <v>8</v>
      </c>
      <c r="S198" s="18" t="s">
        <v>10</v>
      </c>
      <c r="T198" s="97" t="s">
        <v>10</v>
      </c>
      <c r="V198" s="31">
        <v>5</v>
      </c>
      <c r="W198" s="18">
        <v>3.5</v>
      </c>
      <c r="X198" s="18">
        <v>1.6</v>
      </c>
      <c r="Y198" s="18">
        <v>0.6</v>
      </c>
      <c r="Z198" s="18" t="s">
        <v>0</v>
      </c>
      <c r="AA198" s="111" t="s">
        <v>8</v>
      </c>
      <c r="AB198" s="18" t="s">
        <v>9</v>
      </c>
      <c r="AC198" s="18" t="s">
        <v>8</v>
      </c>
      <c r="AD198" s="97" t="s">
        <v>8</v>
      </c>
    </row>
    <row r="199" spans="12:30">
      <c r="L199" s="29">
        <v>5.8</v>
      </c>
      <c r="M199" s="22">
        <v>2.8</v>
      </c>
      <c r="N199" s="22">
        <v>5.0999999999999996</v>
      </c>
      <c r="O199" s="22">
        <v>2.4</v>
      </c>
      <c r="P199" s="22" t="s">
        <v>2</v>
      </c>
      <c r="Q199" s="61" t="s">
        <v>9</v>
      </c>
      <c r="R199" s="18" t="s">
        <v>8</v>
      </c>
      <c r="S199" s="18" t="s">
        <v>10</v>
      </c>
      <c r="T199" s="97" t="s">
        <v>10</v>
      </c>
      <c r="V199" s="29">
        <v>5.0999999999999996</v>
      </c>
      <c r="W199" s="22">
        <v>3.8</v>
      </c>
      <c r="X199" s="22">
        <v>1.9</v>
      </c>
      <c r="Y199" s="22">
        <v>0.4</v>
      </c>
      <c r="Z199" s="22" t="s">
        <v>0</v>
      </c>
      <c r="AA199" s="111" t="s">
        <v>8</v>
      </c>
      <c r="AB199" s="18" t="s">
        <v>10</v>
      </c>
      <c r="AC199" s="18" t="s">
        <v>8</v>
      </c>
      <c r="AD199" s="97" t="s">
        <v>8</v>
      </c>
    </row>
    <row r="200" spans="12:30">
      <c r="L200" s="31">
        <v>6.4</v>
      </c>
      <c r="M200" s="18">
        <v>3.2</v>
      </c>
      <c r="N200" s="18">
        <v>5.3</v>
      </c>
      <c r="O200" s="18">
        <v>2.2999999999999998</v>
      </c>
      <c r="P200" s="18" t="s">
        <v>2</v>
      </c>
      <c r="Q200" s="61" t="s">
        <v>9</v>
      </c>
      <c r="R200" s="18" t="s">
        <v>9</v>
      </c>
      <c r="S200" s="18" t="s">
        <v>10</v>
      </c>
      <c r="T200" s="97" t="s">
        <v>10</v>
      </c>
      <c r="V200" s="31">
        <v>4.8</v>
      </c>
      <c r="W200" s="18">
        <v>3</v>
      </c>
      <c r="X200" s="18">
        <v>1.4</v>
      </c>
      <c r="Y200" s="18">
        <v>0.3</v>
      </c>
      <c r="Z200" s="18" t="s">
        <v>0</v>
      </c>
      <c r="AA200" s="111" t="s">
        <v>8</v>
      </c>
      <c r="AB200" s="18" t="s">
        <v>9</v>
      </c>
      <c r="AC200" s="18" t="s">
        <v>8</v>
      </c>
      <c r="AD200" s="97" t="s">
        <v>8</v>
      </c>
    </row>
    <row r="201" spans="12:30">
      <c r="L201" s="29">
        <v>6.5</v>
      </c>
      <c r="M201" s="22">
        <v>3</v>
      </c>
      <c r="N201" s="22">
        <v>5.5</v>
      </c>
      <c r="O201" s="22">
        <v>1.8</v>
      </c>
      <c r="P201" s="22" t="s">
        <v>2</v>
      </c>
      <c r="Q201" s="61" t="s">
        <v>9</v>
      </c>
      <c r="R201" s="18" t="s">
        <v>9</v>
      </c>
      <c r="S201" s="18" t="s">
        <v>10</v>
      </c>
      <c r="T201" s="97" t="s">
        <v>10</v>
      </c>
      <c r="V201" s="29">
        <v>5.0999999999999996</v>
      </c>
      <c r="W201" s="22">
        <v>3.8</v>
      </c>
      <c r="X201" s="22">
        <v>1.6</v>
      </c>
      <c r="Y201" s="22">
        <v>0.2</v>
      </c>
      <c r="Z201" s="22" t="s">
        <v>0</v>
      </c>
      <c r="AA201" s="111" t="s">
        <v>8</v>
      </c>
      <c r="AB201" s="18" t="s">
        <v>10</v>
      </c>
      <c r="AC201" s="18" t="s">
        <v>8</v>
      </c>
      <c r="AD201" s="97" t="s">
        <v>8</v>
      </c>
    </row>
    <row r="202" spans="12:30">
      <c r="L202" s="31">
        <v>6</v>
      </c>
      <c r="M202" s="18">
        <v>2.2000000000000002</v>
      </c>
      <c r="N202" s="18">
        <v>5</v>
      </c>
      <c r="O202" s="18">
        <v>1.5</v>
      </c>
      <c r="P202" s="18" t="s">
        <v>2</v>
      </c>
      <c r="Q202" s="61" t="s">
        <v>9</v>
      </c>
      <c r="R202" s="18" t="s">
        <v>8</v>
      </c>
      <c r="S202" s="18" t="s">
        <v>10</v>
      </c>
      <c r="T202" s="97" t="s">
        <v>9</v>
      </c>
      <c r="V202" s="31">
        <v>4.5999999999999996</v>
      </c>
      <c r="W202" s="18">
        <v>3.2</v>
      </c>
      <c r="X202" s="18">
        <v>1.4</v>
      </c>
      <c r="Y202" s="18">
        <v>0.2</v>
      </c>
      <c r="Z202" s="18" t="s">
        <v>0</v>
      </c>
      <c r="AA202" s="111" t="s">
        <v>8</v>
      </c>
      <c r="AB202" s="18" t="s">
        <v>9</v>
      </c>
      <c r="AC202" s="18" t="s">
        <v>8</v>
      </c>
      <c r="AD202" s="97" t="s">
        <v>8</v>
      </c>
    </row>
    <row r="203" spans="12:30">
      <c r="L203" s="31">
        <v>5.6</v>
      </c>
      <c r="M203" s="18">
        <v>2.8</v>
      </c>
      <c r="N203" s="18">
        <v>4.9000000000000004</v>
      </c>
      <c r="O203" s="18">
        <v>2</v>
      </c>
      <c r="P203" s="18" t="s">
        <v>2</v>
      </c>
      <c r="Q203" s="61" t="s">
        <v>9</v>
      </c>
      <c r="R203" s="18" t="s">
        <v>8</v>
      </c>
      <c r="S203" s="18" t="s">
        <v>10</v>
      </c>
      <c r="T203" s="97" t="s">
        <v>10</v>
      </c>
      <c r="V203" s="29">
        <v>5.3</v>
      </c>
      <c r="W203" s="22">
        <v>3.7</v>
      </c>
      <c r="X203" s="22">
        <v>1.5</v>
      </c>
      <c r="Y203" s="22">
        <v>0.2</v>
      </c>
      <c r="Z203" s="22" t="s">
        <v>0</v>
      </c>
      <c r="AA203" s="111" t="s">
        <v>8</v>
      </c>
      <c r="AB203" s="18" t="s">
        <v>10</v>
      </c>
      <c r="AC203" s="18" t="s">
        <v>8</v>
      </c>
      <c r="AD203" s="97" t="s">
        <v>8</v>
      </c>
    </row>
    <row r="204" spans="12:30">
      <c r="L204" s="31">
        <v>6.3</v>
      </c>
      <c r="M204" s="18">
        <v>2.7</v>
      </c>
      <c r="N204" s="18">
        <v>4.9000000000000004</v>
      </c>
      <c r="O204" s="18">
        <v>1.8</v>
      </c>
      <c r="P204" s="18" t="s">
        <v>2</v>
      </c>
      <c r="Q204" s="61" t="s">
        <v>9</v>
      </c>
      <c r="R204" s="18" t="s">
        <v>8</v>
      </c>
      <c r="S204" s="18" t="s">
        <v>10</v>
      </c>
      <c r="T204" s="97" t="s">
        <v>10</v>
      </c>
      <c r="V204" s="31">
        <v>5</v>
      </c>
      <c r="W204" s="18">
        <v>3.3</v>
      </c>
      <c r="X204" s="18">
        <v>1.4</v>
      </c>
      <c r="Y204" s="18">
        <v>0.2</v>
      </c>
      <c r="Z204" s="18" t="s">
        <v>0</v>
      </c>
      <c r="AA204" s="111" t="s">
        <v>8</v>
      </c>
      <c r="AB204" s="18" t="s">
        <v>9</v>
      </c>
      <c r="AC204" s="18" t="s">
        <v>8</v>
      </c>
      <c r="AD204" s="97" t="s">
        <v>8</v>
      </c>
    </row>
    <row r="205" spans="12:30">
      <c r="L205" s="29">
        <v>6.2</v>
      </c>
      <c r="M205" s="22">
        <v>2.8</v>
      </c>
      <c r="N205" s="22">
        <v>4.8</v>
      </c>
      <c r="O205" s="22">
        <v>1.8</v>
      </c>
      <c r="P205" s="22" t="s">
        <v>2</v>
      </c>
      <c r="Q205" s="61" t="s">
        <v>9</v>
      </c>
      <c r="R205" s="18" t="s">
        <v>8</v>
      </c>
      <c r="S205" s="18" t="s">
        <v>9</v>
      </c>
      <c r="T205" s="97" t="s">
        <v>10</v>
      </c>
      <c r="V205" s="31">
        <v>5.5</v>
      </c>
      <c r="W205" s="18">
        <v>2.2999999999999998</v>
      </c>
      <c r="X205" s="18">
        <v>4</v>
      </c>
      <c r="Y205" s="18">
        <v>1.3</v>
      </c>
      <c r="Z205" s="18" t="s">
        <v>1</v>
      </c>
      <c r="AA205" s="111" t="s">
        <v>8</v>
      </c>
      <c r="AB205" s="18" t="s">
        <v>8</v>
      </c>
      <c r="AC205" s="18" t="s">
        <v>9</v>
      </c>
      <c r="AD205" s="97" t="s">
        <v>9</v>
      </c>
    </row>
    <row r="206" spans="12:30">
      <c r="L206" s="31">
        <v>6.1</v>
      </c>
      <c r="M206" s="18">
        <v>3</v>
      </c>
      <c r="N206" s="18">
        <v>4.9000000000000004</v>
      </c>
      <c r="O206" s="18">
        <v>1.8</v>
      </c>
      <c r="P206" s="18" t="s">
        <v>2</v>
      </c>
      <c r="Q206" s="61" t="s">
        <v>9</v>
      </c>
      <c r="R206" s="18" t="s">
        <v>9</v>
      </c>
      <c r="S206" s="18" t="s">
        <v>10</v>
      </c>
      <c r="T206" s="97" t="s">
        <v>10</v>
      </c>
      <c r="V206" s="31">
        <v>4.9000000000000004</v>
      </c>
      <c r="W206" s="18">
        <v>2.4</v>
      </c>
      <c r="X206" s="18">
        <v>3.3</v>
      </c>
      <c r="Y206" s="18">
        <v>1</v>
      </c>
      <c r="Z206" s="18" t="s">
        <v>1</v>
      </c>
      <c r="AA206" s="111" t="s">
        <v>8</v>
      </c>
      <c r="AB206" s="18" t="s">
        <v>8</v>
      </c>
      <c r="AC206" s="18" t="s">
        <v>9</v>
      </c>
      <c r="AD206" s="97" t="s">
        <v>9</v>
      </c>
    </row>
    <row r="207" spans="12:30">
      <c r="L207" s="29">
        <v>6.4</v>
      </c>
      <c r="M207" s="22">
        <v>2.8</v>
      </c>
      <c r="N207" s="22">
        <v>5.6</v>
      </c>
      <c r="O207" s="22">
        <v>2.1</v>
      </c>
      <c r="P207" s="22" t="s">
        <v>2</v>
      </c>
      <c r="Q207" s="61" t="s">
        <v>9</v>
      </c>
      <c r="R207" s="18" t="s">
        <v>8</v>
      </c>
      <c r="S207" s="18" t="s">
        <v>10</v>
      </c>
      <c r="T207" s="97" t="s">
        <v>10</v>
      </c>
      <c r="V207" s="31">
        <v>5.2</v>
      </c>
      <c r="W207" s="18">
        <v>2.7</v>
      </c>
      <c r="X207" s="18">
        <v>3.9</v>
      </c>
      <c r="Y207" s="18">
        <v>1.4</v>
      </c>
      <c r="Z207" s="18" t="s">
        <v>1</v>
      </c>
      <c r="AA207" s="111" t="s">
        <v>8</v>
      </c>
      <c r="AB207" s="18" t="s">
        <v>8</v>
      </c>
      <c r="AC207" s="18" t="s">
        <v>9</v>
      </c>
      <c r="AD207" s="97" t="s">
        <v>9</v>
      </c>
    </row>
    <row r="208" spans="12:30">
      <c r="L208" s="29">
        <v>6.4</v>
      </c>
      <c r="M208" s="22">
        <v>2.8</v>
      </c>
      <c r="N208" s="22">
        <v>5.6</v>
      </c>
      <c r="O208" s="22">
        <v>2.2000000000000002</v>
      </c>
      <c r="P208" s="22" t="s">
        <v>2</v>
      </c>
      <c r="Q208" s="61" t="s">
        <v>9</v>
      </c>
      <c r="R208" s="18" t="s">
        <v>8</v>
      </c>
      <c r="S208" s="18" t="s">
        <v>10</v>
      </c>
      <c r="T208" s="97" t="s">
        <v>10</v>
      </c>
      <c r="V208" s="29">
        <v>5</v>
      </c>
      <c r="W208" s="22">
        <v>2</v>
      </c>
      <c r="X208" s="22">
        <v>3.5</v>
      </c>
      <c r="Y208" s="22">
        <v>1</v>
      </c>
      <c r="Z208" s="22" t="s">
        <v>1</v>
      </c>
      <c r="AA208" s="111" t="s">
        <v>8</v>
      </c>
      <c r="AB208" s="18" t="s">
        <v>8</v>
      </c>
      <c r="AC208" s="18" t="s">
        <v>9</v>
      </c>
      <c r="AD208" s="97" t="s">
        <v>9</v>
      </c>
    </row>
    <row r="209" spans="12:30">
      <c r="L209" s="31">
        <v>6.3</v>
      </c>
      <c r="M209" s="18">
        <v>2.8</v>
      </c>
      <c r="N209" s="18">
        <v>5.0999999999999996</v>
      </c>
      <c r="O209" s="18">
        <v>1.5</v>
      </c>
      <c r="P209" s="18" t="s">
        <v>2</v>
      </c>
      <c r="Q209" s="61" t="s">
        <v>9</v>
      </c>
      <c r="R209" s="18" t="s">
        <v>8</v>
      </c>
      <c r="S209" s="18" t="s">
        <v>10</v>
      </c>
      <c r="T209" s="97" t="s">
        <v>9</v>
      </c>
      <c r="V209" s="29">
        <v>5.5</v>
      </c>
      <c r="W209" s="22">
        <v>2.4</v>
      </c>
      <c r="X209" s="22">
        <v>3.8</v>
      </c>
      <c r="Y209" s="22">
        <v>1.1000000000000001</v>
      </c>
      <c r="Z209" s="22" t="s">
        <v>1</v>
      </c>
      <c r="AA209" s="111" t="s">
        <v>8</v>
      </c>
      <c r="AB209" s="18" t="s">
        <v>8</v>
      </c>
      <c r="AC209" s="18" t="s">
        <v>9</v>
      </c>
      <c r="AD209" s="97" t="s">
        <v>9</v>
      </c>
    </row>
    <row r="210" spans="12:30">
      <c r="L210" s="29">
        <v>6.1</v>
      </c>
      <c r="M210" s="22">
        <v>2.6</v>
      </c>
      <c r="N210" s="22">
        <v>5.6</v>
      </c>
      <c r="O210" s="22">
        <v>1.4</v>
      </c>
      <c r="P210" s="22" t="s">
        <v>2</v>
      </c>
      <c r="Q210" s="61" t="s">
        <v>9</v>
      </c>
      <c r="R210" s="18" t="s">
        <v>8</v>
      </c>
      <c r="S210" s="18" t="s">
        <v>10</v>
      </c>
      <c r="T210" s="97" t="s">
        <v>9</v>
      </c>
      <c r="V210" s="31">
        <v>5.5</v>
      </c>
      <c r="W210" s="18">
        <v>2.4</v>
      </c>
      <c r="X210" s="18">
        <v>3.7</v>
      </c>
      <c r="Y210" s="18">
        <v>1</v>
      </c>
      <c r="Z210" s="18" t="s">
        <v>1</v>
      </c>
      <c r="AA210" s="111" t="s">
        <v>8</v>
      </c>
      <c r="AB210" s="18" t="s">
        <v>8</v>
      </c>
      <c r="AC210" s="18" t="s">
        <v>9</v>
      </c>
      <c r="AD210" s="97" t="s">
        <v>9</v>
      </c>
    </row>
    <row r="211" spans="12:30">
      <c r="L211" s="29">
        <v>6.3</v>
      </c>
      <c r="M211" s="22">
        <v>3.4</v>
      </c>
      <c r="N211" s="22">
        <v>5.6</v>
      </c>
      <c r="O211" s="22">
        <v>2.4</v>
      </c>
      <c r="P211" s="22" t="s">
        <v>2</v>
      </c>
      <c r="Q211" s="61" t="s">
        <v>9</v>
      </c>
      <c r="R211" s="18" t="s">
        <v>9</v>
      </c>
      <c r="S211" s="18" t="s">
        <v>10</v>
      </c>
      <c r="T211" s="97" t="s">
        <v>10</v>
      </c>
      <c r="V211" s="29">
        <v>5.4</v>
      </c>
      <c r="W211" s="22">
        <v>3</v>
      </c>
      <c r="X211" s="22">
        <v>4.5</v>
      </c>
      <c r="Y211" s="22">
        <v>1.5</v>
      </c>
      <c r="Z211" s="22" t="s">
        <v>1</v>
      </c>
      <c r="AA211" s="111" t="s">
        <v>8</v>
      </c>
      <c r="AB211" s="18" t="s">
        <v>9</v>
      </c>
      <c r="AC211" s="18" t="s">
        <v>9</v>
      </c>
      <c r="AD211" s="97" t="s">
        <v>9</v>
      </c>
    </row>
    <row r="212" spans="12:30">
      <c r="L212" s="31">
        <v>6.4</v>
      </c>
      <c r="M212" s="18">
        <v>3.1</v>
      </c>
      <c r="N212" s="18">
        <v>5.5</v>
      </c>
      <c r="O212" s="18">
        <v>1.8</v>
      </c>
      <c r="P212" s="18" t="s">
        <v>2</v>
      </c>
      <c r="Q212" s="61" t="s">
        <v>9</v>
      </c>
      <c r="R212" s="18" t="s">
        <v>9</v>
      </c>
      <c r="S212" s="18" t="s">
        <v>10</v>
      </c>
      <c r="T212" s="97" t="s">
        <v>10</v>
      </c>
      <c r="V212" s="31">
        <v>5.5</v>
      </c>
      <c r="W212" s="18">
        <v>2.5</v>
      </c>
      <c r="X212" s="18">
        <v>4</v>
      </c>
      <c r="Y212" s="18">
        <v>1.3</v>
      </c>
      <c r="Z212" s="18" t="s">
        <v>1</v>
      </c>
      <c r="AA212" s="111" t="s">
        <v>8</v>
      </c>
      <c r="AB212" s="18" t="s">
        <v>8</v>
      </c>
      <c r="AC212" s="18" t="s">
        <v>9</v>
      </c>
      <c r="AD212" s="97" t="s">
        <v>9</v>
      </c>
    </row>
    <row r="213" spans="12:30">
      <c r="L213" s="29">
        <v>6</v>
      </c>
      <c r="M213" s="22">
        <v>3</v>
      </c>
      <c r="N213" s="22">
        <v>4.8</v>
      </c>
      <c r="O213" s="22">
        <v>1.8</v>
      </c>
      <c r="P213" s="22" t="s">
        <v>2</v>
      </c>
      <c r="Q213" s="61" t="s">
        <v>9</v>
      </c>
      <c r="R213" s="18" t="s">
        <v>9</v>
      </c>
      <c r="S213" s="18" t="s">
        <v>9</v>
      </c>
      <c r="T213" s="97" t="s">
        <v>10</v>
      </c>
      <c r="V213" s="29">
        <v>5.5</v>
      </c>
      <c r="W213" s="22">
        <v>2.6</v>
      </c>
      <c r="X213" s="22">
        <v>4.4000000000000004</v>
      </c>
      <c r="Y213" s="22">
        <v>1.2</v>
      </c>
      <c r="Z213" s="22" t="s">
        <v>1</v>
      </c>
      <c r="AA213" s="111" t="s">
        <v>8</v>
      </c>
      <c r="AB213" s="18" t="s">
        <v>8</v>
      </c>
      <c r="AC213" s="18" t="s">
        <v>9</v>
      </c>
      <c r="AD213" s="97" t="s">
        <v>9</v>
      </c>
    </row>
    <row r="214" spans="12:30">
      <c r="L214" s="29">
        <v>5.8</v>
      </c>
      <c r="M214" s="22">
        <v>2.7</v>
      </c>
      <c r="N214" s="22">
        <v>5.0999999999999996</v>
      </c>
      <c r="O214" s="22">
        <v>1.9</v>
      </c>
      <c r="P214" s="22" t="s">
        <v>2</v>
      </c>
      <c r="Q214" s="61" t="s">
        <v>9</v>
      </c>
      <c r="R214" s="18" t="s">
        <v>8</v>
      </c>
      <c r="S214" s="18" t="s">
        <v>10</v>
      </c>
      <c r="T214" s="97" t="s">
        <v>10</v>
      </c>
      <c r="V214" s="31">
        <v>5</v>
      </c>
      <c r="W214" s="18">
        <v>2.2999999999999998</v>
      </c>
      <c r="X214" s="18">
        <v>3.3</v>
      </c>
      <c r="Y214" s="18">
        <v>1</v>
      </c>
      <c r="Z214" s="18" t="s">
        <v>1</v>
      </c>
      <c r="AA214" s="111" t="s">
        <v>8</v>
      </c>
      <c r="AB214" s="18" t="s">
        <v>8</v>
      </c>
      <c r="AC214" s="18" t="s">
        <v>9</v>
      </c>
      <c r="AD214" s="97" t="s">
        <v>9</v>
      </c>
    </row>
    <row r="215" spans="12:30">
      <c r="L215" s="29">
        <v>6.3</v>
      </c>
      <c r="M215" s="22">
        <v>2.5</v>
      </c>
      <c r="N215" s="22">
        <v>5</v>
      </c>
      <c r="O215" s="22">
        <v>1.9</v>
      </c>
      <c r="P215" s="22" t="s">
        <v>2</v>
      </c>
      <c r="Q215" s="61" t="s">
        <v>9</v>
      </c>
      <c r="R215" s="18" t="s">
        <v>8</v>
      </c>
      <c r="S215" s="18" t="s">
        <v>10</v>
      </c>
      <c r="T215" s="97" t="s">
        <v>10</v>
      </c>
      <c r="V215" s="29">
        <v>5.0999999999999996</v>
      </c>
      <c r="W215" s="22">
        <v>2.5</v>
      </c>
      <c r="X215" s="22">
        <v>3</v>
      </c>
      <c r="Y215" s="22">
        <v>1.1000000000000001</v>
      </c>
      <c r="Z215" s="22" t="s">
        <v>1</v>
      </c>
      <c r="AA215" s="111" t="s">
        <v>8</v>
      </c>
      <c r="AB215" s="18" t="s">
        <v>8</v>
      </c>
      <c r="AC215" s="18" t="s">
        <v>9</v>
      </c>
      <c r="AD215" s="97" t="s">
        <v>9</v>
      </c>
    </row>
    <row r="216" spans="12:30">
      <c r="L216" s="31">
        <v>6.5</v>
      </c>
      <c r="M216" s="18">
        <v>3</v>
      </c>
      <c r="N216" s="18">
        <v>5.2</v>
      </c>
      <c r="O216" s="18">
        <v>2</v>
      </c>
      <c r="P216" s="18" t="s">
        <v>2</v>
      </c>
      <c r="Q216" s="61" t="s">
        <v>9</v>
      </c>
      <c r="R216" s="18" t="s">
        <v>9</v>
      </c>
      <c r="S216" s="18" t="s">
        <v>10</v>
      </c>
      <c r="T216" s="97" t="s">
        <v>10</v>
      </c>
      <c r="V216" s="32">
        <v>4.9000000000000004</v>
      </c>
      <c r="W216" s="33">
        <v>2.5</v>
      </c>
      <c r="X216" s="33">
        <v>4.5</v>
      </c>
      <c r="Y216" s="33">
        <v>1.7</v>
      </c>
      <c r="Z216" s="33" t="s">
        <v>2</v>
      </c>
      <c r="AA216" s="112" t="s">
        <v>8</v>
      </c>
      <c r="AB216" s="47" t="s">
        <v>8</v>
      </c>
      <c r="AC216" s="47" t="s">
        <v>9</v>
      </c>
      <c r="AD216" s="98" t="s">
        <v>9</v>
      </c>
    </row>
    <row r="217" spans="12:30">
      <c r="L217" s="29">
        <v>6.2</v>
      </c>
      <c r="M217" s="22">
        <v>3.4</v>
      </c>
      <c r="N217" s="22">
        <v>5.4</v>
      </c>
      <c r="O217" s="22">
        <v>2.2999999999999998</v>
      </c>
      <c r="P217" s="22" t="s">
        <v>2</v>
      </c>
      <c r="Q217" s="61" t="s">
        <v>9</v>
      </c>
      <c r="R217" s="18" t="s">
        <v>9</v>
      </c>
      <c r="S217" s="18" t="s">
        <v>10</v>
      </c>
      <c r="T217" s="97" t="s">
        <v>10</v>
      </c>
    </row>
    <row r="218" spans="12:30">
      <c r="L218" s="80">
        <v>5.9</v>
      </c>
      <c r="M218" s="47">
        <v>3</v>
      </c>
      <c r="N218" s="47">
        <v>5.0999999999999996</v>
      </c>
      <c r="O218" s="47">
        <v>1.8</v>
      </c>
      <c r="P218" s="47" t="s">
        <v>2</v>
      </c>
      <c r="Q218" s="63" t="s">
        <v>9</v>
      </c>
      <c r="R218" s="47" t="s">
        <v>9</v>
      </c>
      <c r="S218" s="47" t="s">
        <v>10</v>
      </c>
      <c r="T218" s="98" t="s">
        <v>10</v>
      </c>
    </row>
  </sheetData>
  <mergeCells count="9">
    <mergeCell ref="N7:P7"/>
    <mergeCell ref="N5:P5"/>
    <mergeCell ref="N3:P3"/>
    <mergeCell ref="N4:P4"/>
    <mergeCell ref="N9:P9"/>
    <mergeCell ref="N11:P11"/>
    <mergeCell ref="N13:P13"/>
    <mergeCell ref="O15:P15"/>
    <mergeCell ref="O16:P16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D8F6-F524-43EB-BD65-615FE237B64B}">
  <dimension ref="B1:AD231"/>
  <sheetViews>
    <sheetView topLeftCell="A141" zoomScale="80" zoomScaleNormal="80" workbookViewId="0">
      <selection activeCell="X150" sqref="X150"/>
    </sheetView>
  </sheetViews>
  <sheetFormatPr baseColWidth="10" defaultRowHeight="15"/>
  <cols>
    <col min="2" max="2" width="18.7109375" customWidth="1"/>
    <col min="3" max="3" width="18.28515625" customWidth="1"/>
    <col min="4" max="5" width="18.7109375" customWidth="1"/>
    <col min="6" max="6" width="14.7109375" customWidth="1"/>
    <col min="7" max="7" width="20.140625" customWidth="1"/>
    <col min="8" max="8" width="18.85546875" customWidth="1"/>
    <col min="9" max="9" width="19.7109375" customWidth="1"/>
    <col min="10" max="10" width="17.85546875" customWidth="1"/>
    <col min="11" max="11" width="15" customWidth="1"/>
    <col min="12" max="12" width="18.7109375" customWidth="1"/>
    <col min="13" max="13" width="17" customWidth="1"/>
    <col min="14" max="14" width="18.7109375" customWidth="1"/>
    <col min="15" max="15" width="16.85546875" customWidth="1"/>
    <col min="16" max="16" width="11.5703125" customWidth="1"/>
    <col min="17" max="17" width="19.7109375" customWidth="1"/>
    <col min="18" max="18" width="18" customWidth="1"/>
    <col min="19" max="19" width="19.7109375" customWidth="1"/>
    <col min="20" max="20" width="17.85546875" customWidth="1"/>
    <col min="22" max="22" width="18.7109375" customWidth="1"/>
    <col min="23" max="23" width="17" customWidth="1"/>
    <col min="24" max="24" width="18.7109375" customWidth="1"/>
    <col min="25" max="25" width="16.85546875" customWidth="1"/>
    <col min="27" max="27" width="19.7109375" customWidth="1"/>
    <col min="28" max="28" width="18" customWidth="1"/>
    <col min="29" max="29" width="19.7109375" customWidth="1"/>
    <col min="30" max="30" width="17.85546875" customWidth="1"/>
  </cols>
  <sheetData>
    <row r="1" spans="2:11">
      <c r="B1" s="90" t="s">
        <v>20</v>
      </c>
      <c r="C1" s="90" t="s">
        <v>21</v>
      </c>
      <c r="D1" s="90" t="s">
        <v>22</v>
      </c>
      <c r="E1" s="90" t="s">
        <v>23</v>
      </c>
      <c r="F1" s="90" t="s">
        <v>24</v>
      </c>
      <c r="G1" s="90" t="s">
        <v>20</v>
      </c>
      <c r="H1" s="91" t="s">
        <v>21</v>
      </c>
      <c r="I1" s="91" t="s">
        <v>22</v>
      </c>
      <c r="J1" s="91" t="s">
        <v>23</v>
      </c>
      <c r="K1" s="91" t="s">
        <v>24</v>
      </c>
    </row>
    <row r="2" spans="2:11">
      <c r="B2" s="92">
        <v>4.3</v>
      </c>
      <c r="C2" s="92">
        <v>3</v>
      </c>
      <c r="D2" s="92">
        <v>1.1000000000000001</v>
      </c>
      <c r="E2" s="92">
        <v>0.1</v>
      </c>
      <c r="F2" s="92" t="s">
        <v>25</v>
      </c>
      <c r="G2" s="92" t="str">
        <f>IF([1]!DataIris[[#This Row],[Largo de sépalo]]&lt;=5.5,"CORTO",IF([1]!DataIris[[#This Row],[Largo de sépalo]]&lt;=6.7,"MEDIANO","LARGO"))</f>
        <v>CORTO</v>
      </c>
      <c r="H2" s="92" t="str">
        <f>IF([1]!DataIris[[#This Row],[Ancho de sépalo]]&lt;=3.2,"ESTRECHO","ANCHO")</f>
        <v>ESTRECHO</v>
      </c>
      <c r="I2" s="92" t="str">
        <f>IF([1]!DataIris[[#This Row],[Largo de pétalo]]&lt;=3,"CORTO",IF([1]!DataIris[[#This Row],[Largo de pétalo]]&lt;=5,"MEDIANO","LARGO"))</f>
        <v>CORTO</v>
      </c>
      <c r="J2" s="92" t="str">
        <f>IF([1]!DataIris[[#This Row],[Ancho de pétalo]]&lt;=1.4,"ESTRECHO","ANCHO")</f>
        <v>ESTRECHO</v>
      </c>
      <c r="K2" s="92" t="s">
        <v>25</v>
      </c>
    </row>
    <row r="3" spans="2:11">
      <c r="B3" s="92">
        <v>4.4000000000000004</v>
      </c>
      <c r="C3" s="92">
        <v>3</v>
      </c>
      <c r="D3" s="92">
        <v>1.3</v>
      </c>
      <c r="E3" s="92">
        <v>0.2</v>
      </c>
      <c r="F3" s="92" t="s">
        <v>25</v>
      </c>
      <c r="G3" s="92" t="str">
        <f>IF([1]!DataIris[[#This Row],[Largo de sépalo]]&lt;=5.5,"CORTO",IF([1]!DataIris[[#This Row],[Largo de sépalo]]&lt;=6.7,"MEDIANO","LARGO"))</f>
        <v>CORTO</v>
      </c>
      <c r="H3" s="92" t="str">
        <f>IF([1]!DataIris[[#This Row],[Ancho de sépalo]]&lt;=3.2,"ESTRECHO","ANCHO")</f>
        <v>ESTRECHO</v>
      </c>
      <c r="I3" s="92" t="str">
        <f>IF([1]!DataIris[[#This Row],[Largo de pétalo]]&lt;=3,"CORTO",IF([1]!DataIris[[#This Row],[Largo de pétalo]]&lt;=5,"MEDIANO","LARGO"))</f>
        <v>CORTO</v>
      </c>
      <c r="J3" s="92" t="str">
        <f>IF([1]!DataIris[[#This Row],[Ancho de pétalo]]&lt;=1.4,"ESTRECHO","ANCHO")</f>
        <v>ESTRECHO</v>
      </c>
      <c r="K3" s="92" t="s">
        <v>26</v>
      </c>
    </row>
    <row r="4" spans="2:11">
      <c r="B4" s="92">
        <v>4.4000000000000004</v>
      </c>
      <c r="C4" s="92">
        <v>3.2</v>
      </c>
      <c r="D4" s="92">
        <v>1.3</v>
      </c>
      <c r="E4" s="92">
        <v>0.2</v>
      </c>
      <c r="F4" s="92" t="s">
        <v>25</v>
      </c>
      <c r="G4" s="92" t="str">
        <f>IF([1]!DataIris[[#This Row],[Largo de sépalo]]&lt;=5.5,"CORTO",IF([1]!DataIris[[#This Row],[Largo de sépalo]]&lt;=6.7,"MEDIANO","LARGO"))</f>
        <v>CORTO</v>
      </c>
      <c r="H4" s="92" t="str">
        <f>IF([1]!DataIris[[#This Row],[Ancho de sépalo]]&lt;=3.2,"ESTRECHO","ANCHO")</f>
        <v>ESTRECHO</v>
      </c>
      <c r="I4" s="92" t="str">
        <f>IF([1]!DataIris[[#This Row],[Largo de pétalo]]&lt;=3,"CORTO",IF([1]!DataIris[[#This Row],[Largo de pétalo]]&lt;=5,"MEDIANO","LARGO"))</f>
        <v>CORTO</v>
      </c>
      <c r="J4" s="92" t="str">
        <f>IF([1]!DataIris[[#This Row],[Ancho de pétalo]]&lt;=1.4,"ESTRECHO","ANCHO")</f>
        <v>ESTRECHO</v>
      </c>
      <c r="K4" s="92" t="s">
        <v>25</v>
      </c>
    </row>
    <row r="5" spans="2:11">
      <c r="B5" s="92">
        <v>4.4000000000000004</v>
      </c>
      <c r="C5" s="92">
        <v>2.9</v>
      </c>
      <c r="D5" s="92">
        <v>1.4</v>
      </c>
      <c r="E5" s="92">
        <v>0.2</v>
      </c>
      <c r="F5" s="92" t="s">
        <v>25</v>
      </c>
      <c r="G5" s="92" t="str">
        <f>IF([1]!DataIris[[#This Row],[Largo de sépalo]]&lt;=5.5,"CORTO",IF([1]!DataIris[[#This Row],[Largo de sépalo]]&lt;=6.7,"MEDIANO","LARGO"))</f>
        <v>CORTO</v>
      </c>
      <c r="H5" s="92" t="str">
        <f>IF([1]!DataIris[[#This Row],[Ancho de sépalo]]&lt;=3.2,"ESTRECHO","ANCHO")</f>
        <v>ESTRECHO</v>
      </c>
      <c r="I5" s="92" t="str">
        <f>IF([1]!DataIris[[#This Row],[Largo de pétalo]]&lt;=3,"CORTO",IF([1]!DataIris[[#This Row],[Largo de pétalo]]&lt;=5,"MEDIANO","LARGO"))</f>
        <v>CORTO</v>
      </c>
      <c r="J5" s="92" t="str">
        <f>IF([1]!DataIris[[#This Row],[Ancho de pétalo]]&lt;=1.4,"ESTRECHO","ANCHO")</f>
        <v>ESTRECHO</v>
      </c>
      <c r="K5" s="92" t="s">
        <v>27</v>
      </c>
    </row>
    <row r="6" spans="2:11">
      <c r="B6" s="92">
        <v>4.5</v>
      </c>
      <c r="C6" s="92">
        <v>2.2999999999999998</v>
      </c>
      <c r="D6" s="92">
        <v>1.3</v>
      </c>
      <c r="E6" s="92">
        <v>0.3</v>
      </c>
      <c r="F6" s="92" t="s">
        <v>25</v>
      </c>
      <c r="G6" s="92" t="str">
        <f>IF([1]!DataIris[[#This Row],[Largo de sépalo]]&lt;=5.5,"CORTO",IF([1]!DataIris[[#This Row],[Largo de sépalo]]&lt;=6.7,"MEDIANO","LARGO"))</f>
        <v>CORTO</v>
      </c>
      <c r="H6" s="92" t="str">
        <f>IF([1]!DataIris[[#This Row],[Ancho de sépalo]]&lt;=3.2,"ESTRECHO","ANCHO")</f>
        <v>ESTRECHO</v>
      </c>
      <c r="I6" s="92" t="str">
        <f>IF([1]!DataIris[[#This Row],[Largo de pétalo]]&lt;=3,"CORTO",IF([1]!DataIris[[#This Row],[Largo de pétalo]]&lt;=5,"MEDIANO","LARGO"))</f>
        <v>CORTO</v>
      </c>
      <c r="J6" s="92" t="str">
        <f>IF([1]!DataIris[[#This Row],[Ancho de pétalo]]&lt;=1.4,"ESTRECHO","ANCHO")</f>
        <v>ESTRECHO</v>
      </c>
      <c r="K6" s="92" t="s">
        <v>26</v>
      </c>
    </row>
    <row r="7" spans="2:11">
      <c r="B7" s="92">
        <v>4.5999999999999996</v>
      </c>
      <c r="C7" s="92">
        <v>3.6</v>
      </c>
      <c r="D7" s="92">
        <v>1</v>
      </c>
      <c r="E7" s="92">
        <v>0.2</v>
      </c>
      <c r="F7" s="92" t="s">
        <v>25</v>
      </c>
      <c r="G7" s="92" t="str">
        <f>IF([1]!DataIris[[#This Row],[Largo de sépalo]]&lt;=5.5,"CORTO",IF([1]!DataIris[[#This Row],[Largo de sépalo]]&lt;=6.7,"MEDIANO","LARGO"))</f>
        <v>CORTO</v>
      </c>
      <c r="H7" s="92" t="str">
        <f>IF([1]!DataIris[[#This Row],[Ancho de sépalo]]&lt;=3.2,"ESTRECHO","ANCHO")</f>
        <v>ANCHO</v>
      </c>
      <c r="I7" s="92" t="str">
        <f>IF([1]!DataIris[[#This Row],[Largo de pétalo]]&lt;=3,"CORTO",IF([1]!DataIris[[#This Row],[Largo de pétalo]]&lt;=5,"MEDIANO","LARGO"))</f>
        <v>CORTO</v>
      </c>
      <c r="J7" s="92" t="str">
        <f>IF([1]!DataIris[[#This Row],[Ancho de pétalo]]&lt;=1.4,"ESTRECHO","ANCHO")</f>
        <v>ESTRECHO</v>
      </c>
      <c r="K7" s="92" t="s">
        <v>26</v>
      </c>
    </row>
    <row r="8" spans="2:11">
      <c r="B8" s="92">
        <v>4.5999999999999996</v>
      </c>
      <c r="C8" s="92">
        <v>3.2</v>
      </c>
      <c r="D8" s="92">
        <v>1.4</v>
      </c>
      <c r="E8" s="92">
        <v>0.2</v>
      </c>
      <c r="F8" s="92" t="s">
        <v>25</v>
      </c>
      <c r="G8" s="92" t="str">
        <f>IF([1]!DataIris[[#This Row],[Largo de sépalo]]&lt;=5.5,"CORTO",IF([1]!DataIris[[#This Row],[Largo de sépalo]]&lt;=6.7,"MEDIANO","LARGO"))</f>
        <v>CORTO</v>
      </c>
      <c r="H8" s="92" t="str">
        <f>IF([1]!DataIris[[#This Row],[Ancho de sépalo]]&lt;=3.2,"ESTRECHO","ANCHO")</f>
        <v>ESTRECHO</v>
      </c>
      <c r="I8" s="92" t="str">
        <f>IF([1]!DataIris[[#This Row],[Largo de pétalo]]&lt;=3,"CORTO",IF([1]!DataIris[[#This Row],[Largo de pétalo]]&lt;=5,"MEDIANO","LARGO"))</f>
        <v>CORTO</v>
      </c>
      <c r="J8" s="92" t="str">
        <f>IF([1]!DataIris[[#This Row],[Ancho de pétalo]]&lt;=1.4,"ESTRECHO","ANCHO")</f>
        <v>ESTRECHO</v>
      </c>
      <c r="K8" s="92" t="s">
        <v>25</v>
      </c>
    </row>
    <row r="9" spans="2:11">
      <c r="B9" s="92">
        <v>4.5999999999999996</v>
      </c>
      <c r="C9" s="92">
        <v>3.1</v>
      </c>
      <c r="D9" s="92">
        <v>1.5</v>
      </c>
      <c r="E9" s="92">
        <v>0.2</v>
      </c>
      <c r="F9" s="92" t="s">
        <v>25</v>
      </c>
      <c r="G9" s="92" t="str">
        <f>IF([1]!DataIris[[#This Row],[Largo de sépalo]]&lt;=5.5,"CORTO",IF([1]!DataIris[[#This Row],[Largo de sépalo]]&lt;=6.7,"MEDIANO","LARGO"))</f>
        <v>CORTO</v>
      </c>
      <c r="H9" s="92" t="str">
        <f>IF([1]!DataIris[[#This Row],[Ancho de sépalo]]&lt;=3.2,"ESTRECHO","ANCHO")</f>
        <v>ESTRECHO</v>
      </c>
      <c r="I9" s="92" t="str">
        <f>IF([1]!DataIris[[#This Row],[Largo de pétalo]]&lt;=3,"CORTO",IF([1]!DataIris[[#This Row],[Largo de pétalo]]&lt;=5,"MEDIANO","LARGO"))</f>
        <v>CORTO</v>
      </c>
      <c r="J9" s="92" t="str">
        <f>IF([1]!DataIris[[#This Row],[Ancho de pétalo]]&lt;=1.4,"ESTRECHO","ANCHO")</f>
        <v>ESTRECHO</v>
      </c>
      <c r="K9" s="92" t="s">
        <v>27</v>
      </c>
    </row>
    <row r="10" spans="2:11">
      <c r="B10" s="92">
        <v>4.5999999999999996</v>
      </c>
      <c r="C10" s="92">
        <v>3.4</v>
      </c>
      <c r="D10" s="92">
        <v>1.4</v>
      </c>
      <c r="E10" s="92">
        <v>0.3</v>
      </c>
      <c r="F10" s="92" t="s">
        <v>25</v>
      </c>
      <c r="G10" s="92" t="str">
        <f>IF([1]!DataIris[[#This Row],[Largo de sépalo]]&lt;=5.5,"CORTO",IF([1]!DataIris[[#This Row],[Largo de sépalo]]&lt;=6.7,"MEDIANO","LARGO"))</f>
        <v>CORTO</v>
      </c>
      <c r="H10" s="92" t="str">
        <f>IF([1]!DataIris[[#This Row],[Ancho de sépalo]]&lt;=3.2,"ESTRECHO","ANCHO")</f>
        <v>ANCHO</v>
      </c>
      <c r="I10" s="92" t="str">
        <f>IF([1]!DataIris[[#This Row],[Largo de pétalo]]&lt;=3,"CORTO",IF([1]!DataIris[[#This Row],[Largo de pétalo]]&lt;=5,"MEDIANO","LARGO"))</f>
        <v>CORTO</v>
      </c>
      <c r="J10" s="92" t="str">
        <f>IF([1]!DataIris[[#This Row],[Ancho de pétalo]]&lt;=1.4,"ESTRECHO","ANCHO")</f>
        <v>ESTRECHO</v>
      </c>
      <c r="K10" s="92" t="s">
        <v>27</v>
      </c>
    </row>
    <row r="11" spans="2:11">
      <c r="B11" s="92">
        <v>4.7</v>
      </c>
      <c r="C11" s="92">
        <v>3.2</v>
      </c>
      <c r="D11" s="92">
        <v>1.3</v>
      </c>
      <c r="E11" s="92">
        <v>0.2</v>
      </c>
      <c r="F11" s="92" t="s">
        <v>25</v>
      </c>
      <c r="G11" s="92" t="str">
        <f>IF([1]!DataIris[[#This Row],[Largo de sépalo]]&lt;=5.5,"CORTO",IF([1]!DataIris[[#This Row],[Largo de sépalo]]&lt;=6.7,"MEDIANO","LARGO"))</f>
        <v>CORTO</v>
      </c>
      <c r="H11" s="92" t="str">
        <f>IF([1]!DataIris[[#This Row],[Ancho de sépalo]]&lt;=3.2,"ESTRECHO","ANCHO")</f>
        <v>ESTRECHO</v>
      </c>
      <c r="I11" s="92" t="str">
        <f>IF([1]!DataIris[[#This Row],[Largo de pétalo]]&lt;=3,"CORTO",IF([1]!DataIris[[#This Row],[Largo de pétalo]]&lt;=5,"MEDIANO","LARGO"))</f>
        <v>CORTO</v>
      </c>
      <c r="J11" s="92" t="str">
        <f>IF([1]!DataIris[[#This Row],[Ancho de pétalo]]&lt;=1.4,"ESTRECHO","ANCHO")</f>
        <v>ESTRECHO</v>
      </c>
      <c r="K11" s="92" t="s">
        <v>26</v>
      </c>
    </row>
    <row r="12" spans="2:11">
      <c r="B12" s="92">
        <v>4.7</v>
      </c>
      <c r="C12" s="92">
        <v>3.2</v>
      </c>
      <c r="D12" s="92">
        <v>1.6</v>
      </c>
      <c r="E12" s="92">
        <v>0.2</v>
      </c>
      <c r="F12" s="92" t="s">
        <v>25</v>
      </c>
      <c r="G12" s="92" t="str">
        <f>IF([1]!DataIris[[#This Row],[Largo de sépalo]]&lt;=5.5,"CORTO",IF([1]!DataIris[[#This Row],[Largo de sépalo]]&lt;=6.7,"MEDIANO","LARGO"))</f>
        <v>CORTO</v>
      </c>
      <c r="H12" s="92" t="str">
        <f>IF([1]!DataIris[[#This Row],[Ancho de sépalo]]&lt;=3.2,"ESTRECHO","ANCHO")</f>
        <v>ESTRECHO</v>
      </c>
      <c r="I12" s="92" t="str">
        <f>IF([1]!DataIris[[#This Row],[Largo de pétalo]]&lt;=3,"CORTO",IF([1]!DataIris[[#This Row],[Largo de pétalo]]&lt;=5,"MEDIANO","LARGO"))</f>
        <v>CORTO</v>
      </c>
      <c r="J12" s="92" t="str">
        <f>IF([1]!DataIris[[#This Row],[Ancho de pétalo]]&lt;=1.4,"ESTRECHO","ANCHO")</f>
        <v>ESTRECHO</v>
      </c>
      <c r="K12" s="92" t="s">
        <v>26</v>
      </c>
    </row>
    <row r="13" spans="2:11">
      <c r="B13" s="92">
        <v>4.8</v>
      </c>
      <c r="C13" s="92">
        <v>3</v>
      </c>
      <c r="D13" s="92">
        <v>1.4</v>
      </c>
      <c r="E13" s="92">
        <v>0.1</v>
      </c>
      <c r="F13" s="92" t="s">
        <v>25</v>
      </c>
      <c r="G13" s="92" t="str">
        <f>IF([1]!DataIris[[#This Row],[Largo de sépalo]]&lt;=5.5,"CORTO",IF([1]!DataIris[[#This Row],[Largo de sépalo]]&lt;=6.7,"MEDIANO","LARGO"))</f>
        <v>CORTO</v>
      </c>
      <c r="H13" s="92" t="str">
        <f>IF([1]!DataIris[[#This Row],[Ancho de sépalo]]&lt;=3.2,"ESTRECHO","ANCHO")</f>
        <v>ESTRECHO</v>
      </c>
      <c r="I13" s="92" t="str">
        <f>IF([1]!DataIris[[#This Row],[Largo de pétalo]]&lt;=3,"CORTO",IF([1]!DataIris[[#This Row],[Largo de pétalo]]&lt;=5,"MEDIANO","LARGO"))</f>
        <v>CORTO</v>
      </c>
      <c r="J13" s="92" t="str">
        <f>IF([1]!DataIris[[#This Row],[Ancho de pétalo]]&lt;=1.4,"ESTRECHO","ANCHO")</f>
        <v>ESTRECHO</v>
      </c>
      <c r="K13" s="92" t="s">
        <v>26</v>
      </c>
    </row>
    <row r="14" spans="2:11">
      <c r="B14" s="92">
        <v>4.8</v>
      </c>
      <c r="C14" s="92">
        <v>3.1</v>
      </c>
      <c r="D14" s="92">
        <v>1.6</v>
      </c>
      <c r="E14" s="92">
        <v>0.2</v>
      </c>
      <c r="F14" s="92" t="s">
        <v>25</v>
      </c>
      <c r="G14" s="92" t="str">
        <f>IF([1]!DataIris[[#This Row],[Largo de sépalo]]&lt;=5.5,"CORTO",IF([1]!DataIris[[#This Row],[Largo de sépalo]]&lt;=6.7,"MEDIANO","LARGO"))</f>
        <v>CORTO</v>
      </c>
      <c r="H14" s="92" t="str">
        <f>IF([1]!DataIris[[#This Row],[Ancho de sépalo]]&lt;=3.2,"ESTRECHO","ANCHO")</f>
        <v>ESTRECHO</v>
      </c>
      <c r="I14" s="92" t="str">
        <f>IF([1]!DataIris[[#This Row],[Largo de pétalo]]&lt;=3,"CORTO",IF([1]!DataIris[[#This Row],[Largo de pétalo]]&lt;=5,"MEDIANO","LARGO"))</f>
        <v>CORTO</v>
      </c>
      <c r="J14" s="92" t="str">
        <f>IF([1]!DataIris[[#This Row],[Ancho de pétalo]]&lt;=1.4,"ESTRECHO","ANCHO")</f>
        <v>ESTRECHO</v>
      </c>
      <c r="K14" s="92" t="s">
        <v>26</v>
      </c>
    </row>
    <row r="15" spans="2:11">
      <c r="B15" s="92">
        <v>4.8</v>
      </c>
      <c r="C15" s="92">
        <v>3.4</v>
      </c>
      <c r="D15" s="92">
        <v>1.6</v>
      </c>
      <c r="E15" s="92">
        <v>0.2</v>
      </c>
      <c r="F15" s="92" t="s">
        <v>25</v>
      </c>
      <c r="G15" s="92" t="str">
        <f>IF([1]!DataIris[[#This Row],[Largo de sépalo]]&lt;=5.5,"CORTO",IF([1]!DataIris[[#This Row],[Largo de sépalo]]&lt;=6.7,"MEDIANO","LARGO"))</f>
        <v>CORTO</v>
      </c>
      <c r="H15" s="92" t="str">
        <f>IF([1]!DataIris[[#This Row],[Ancho de sépalo]]&lt;=3.2,"ESTRECHO","ANCHO")</f>
        <v>ANCHO</v>
      </c>
      <c r="I15" s="92" t="str">
        <f>IF([1]!DataIris[[#This Row],[Largo de pétalo]]&lt;=3,"CORTO",IF([1]!DataIris[[#This Row],[Largo de pétalo]]&lt;=5,"MEDIANO","LARGO"))</f>
        <v>CORTO</v>
      </c>
      <c r="J15" s="92" t="str">
        <f>IF([1]!DataIris[[#This Row],[Ancho de pétalo]]&lt;=1.4,"ESTRECHO","ANCHO")</f>
        <v>ESTRECHO</v>
      </c>
      <c r="K15" s="92" t="s">
        <v>27</v>
      </c>
    </row>
    <row r="16" spans="2:11">
      <c r="B16" s="92">
        <v>4.8</v>
      </c>
      <c r="C16" s="92">
        <v>3.4</v>
      </c>
      <c r="D16" s="92">
        <v>1.9</v>
      </c>
      <c r="E16" s="92">
        <v>0.2</v>
      </c>
      <c r="F16" s="92" t="s">
        <v>25</v>
      </c>
      <c r="G16" s="92" t="str">
        <f>IF([1]!DataIris[[#This Row],[Largo de sépalo]]&lt;=5.5,"CORTO",IF([1]!DataIris[[#This Row],[Largo de sépalo]]&lt;=6.7,"MEDIANO","LARGO"))</f>
        <v>CORTO</v>
      </c>
      <c r="H16" s="92" t="str">
        <f>IF([1]!DataIris[[#This Row],[Ancho de sépalo]]&lt;=3.2,"ESTRECHO","ANCHO")</f>
        <v>ANCHO</v>
      </c>
      <c r="I16" s="92" t="str">
        <f>IF([1]!DataIris[[#This Row],[Largo de pétalo]]&lt;=3,"CORTO",IF([1]!DataIris[[#This Row],[Largo de pétalo]]&lt;=5,"MEDIANO","LARGO"))</f>
        <v>CORTO</v>
      </c>
      <c r="J16" s="92" t="str">
        <f>IF([1]!DataIris[[#This Row],[Ancho de pétalo]]&lt;=1.4,"ESTRECHO","ANCHO")</f>
        <v>ESTRECHO</v>
      </c>
      <c r="K16" s="92" t="s">
        <v>27</v>
      </c>
    </row>
    <row r="17" spans="2:11">
      <c r="B17" s="92">
        <v>4.8</v>
      </c>
      <c r="C17" s="92">
        <v>3</v>
      </c>
      <c r="D17" s="92">
        <v>1.4</v>
      </c>
      <c r="E17" s="92">
        <v>0.3</v>
      </c>
      <c r="F17" s="92" t="s">
        <v>25</v>
      </c>
      <c r="G17" s="92" t="str">
        <f>IF([1]!DataIris[[#This Row],[Largo de sépalo]]&lt;=5.5,"CORTO",IF([1]!DataIris[[#This Row],[Largo de sépalo]]&lt;=6.7,"MEDIANO","LARGO"))</f>
        <v>CORTO</v>
      </c>
      <c r="H17" s="92" t="str">
        <f>IF([1]!DataIris[[#This Row],[Ancho de sépalo]]&lt;=3.2,"ESTRECHO","ANCHO")</f>
        <v>ESTRECHO</v>
      </c>
      <c r="I17" s="92" t="str">
        <f>IF([1]!DataIris[[#This Row],[Largo de pétalo]]&lt;=3,"CORTO",IF([1]!DataIris[[#This Row],[Largo de pétalo]]&lt;=5,"MEDIANO","LARGO"))</f>
        <v>CORTO</v>
      </c>
      <c r="J17" s="92" t="str">
        <f>IF([1]!DataIris[[#This Row],[Ancho de pétalo]]&lt;=1.4,"ESTRECHO","ANCHO")</f>
        <v>ESTRECHO</v>
      </c>
      <c r="K17" s="92" t="s">
        <v>27</v>
      </c>
    </row>
    <row r="18" spans="2:11">
      <c r="B18" s="92">
        <v>4.9000000000000004</v>
      </c>
      <c r="C18" s="92">
        <v>3.1</v>
      </c>
      <c r="D18" s="92">
        <v>1.5</v>
      </c>
      <c r="E18" s="92">
        <v>0.1</v>
      </c>
      <c r="F18" s="92" t="s">
        <v>25</v>
      </c>
      <c r="G18" s="92" t="str">
        <f>IF([1]!DataIris[[#This Row],[Largo de sépalo]]&lt;=5.5,"CORTO",IF([1]!DataIris[[#This Row],[Largo de sépalo]]&lt;=6.7,"MEDIANO","LARGO"))</f>
        <v>CORTO</v>
      </c>
      <c r="H18" s="92" t="str">
        <f>IF([1]!DataIris[[#This Row],[Ancho de sépalo]]&lt;=3.2,"ESTRECHO","ANCHO")</f>
        <v>ESTRECHO</v>
      </c>
      <c r="I18" s="92" t="str">
        <f>IF([1]!DataIris[[#This Row],[Largo de pétalo]]&lt;=3,"CORTO",IF([1]!DataIris[[#This Row],[Largo de pétalo]]&lt;=5,"MEDIANO","LARGO"))</f>
        <v>CORTO</v>
      </c>
      <c r="J18" s="92" t="str">
        <f>IF([1]!DataIris[[#This Row],[Ancho de pétalo]]&lt;=1.4,"ESTRECHO","ANCHO")</f>
        <v>ESTRECHO</v>
      </c>
      <c r="K18" s="92" t="s">
        <v>27</v>
      </c>
    </row>
    <row r="19" spans="2:11">
      <c r="B19" s="92">
        <v>4.9000000000000004</v>
      </c>
      <c r="C19" s="92">
        <v>3.1</v>
      </c>
      <c r="D19" s="92">
        <v>1.5</v>
      </c>
      <c r="E19" s="92">
        <v>0.1</v>
      </c>
      <c r="F19" s="92" t="s">
        <v>25</v>
      </c>
      <c r="G19" s="92" t="str">
        <f>IF([1]!DataIris[[#This Row],[Largo de sépalo]]&lt;=5.5,"CORTO",IF([1]!DataIris[[#This Row],[Largo de sépalo]]&lt;=6.7,"MEDIANO","LARGO"))</f>
        <v>CORTO</v>
      </c>
      <c r="H19" s="92" t="str">
        <f>IF([1]!DataIris[[#This Row],[Ancho de sépalo]]&lt;=3.2,"ESTRECHO","ANCHO")</f>
        <v>ESTRECHO</v>
      </c>
      <c r="I19" s="92" t="str">
        <f>IF([1]!DataIris[[#This Row],[Largo de pétalo]]&lt;=3,"CORTO",IF([1]!DataIris[[#This Row],[Largo de pétalo]]&lt;=5,"MEDIANO","LARGO"))</f>
        <v>CORTO</v>
      </c>
      <c r="J19" s="92" t="str">
        <f>IF([1]!DataIris[[#This Row],[Ancho de pétalo]]&lt;=1.4,"ESTRECHO","ANCHO")</f>
        <v>ESTRECHO</v>
      </c>
      <c r="K19" s="92" t="s">
        <v>26</v>
      </c>
    </row>
    <row r="20" spans="2:11">
      <c r="B20" s="92">
        <v>4.9000000000000004</v>
      </c>
      <c r="C20" s="92">
        <v>3.1</v>
      </c>
      <c r="D20" s="92">
        <v>1.5</v>
      </c>
      <c r="E20" s="92">
        <v>0.1</v>
      </c>
      <c r="F20" s="92" t="s">
        <v>25</v>
      </c>
      <c r="G20" s="92" t="str">
        <f>IF([1]!DataIris[[#This Row],[Largo de sépalo]]&lt;=5.5,"CORTO",IF([1]!DataIris[[#This Row],[Largo de sépalo]]&lt;=6.7,"MEDIANO","LARGO"))</f>
        <v>CORTO</v>
      </c>
      <c r="H20" s="92" t="str">
        <f>IF([1]!DataIris[[#This Row],[Ancho de sépalo]]&lt;=3.2,"ESTRECHO","ANCHO")</f>
        <v>ESTRECHO</v>
      </c>
      <c r="I20" s="92" t="str">
        <f>IF([1]!DataIris[[#This Row],[Largo de pétalo]]&lt;=3,"CORTO",IF([1]!DataIris[[#This Row],[Largo de pétalo]]&lt;=5,"MEDIANO","LARGO"))</f>
        <v>CORTO</v>
      </c>
      <c r="J20" s="92" t="str">
        <f>IF([1]!DataIris[[#This Row],[Ancho de pétalo]]&lt;=1.4,"ESTRECHO","ANCHO")</f>
        <v>ESTRECHO</v>
      </c>
      <c r="K20" s="92" t="s">
        <v>27</v>
      </c>
    </row>
    <row r="21" spans="2:11">
      <c r="B21" s="92">
        <v>4.9000000000000004</v>
      </c>
      <c r="C21" s="92">
        <v>3</v>
      </c>
      <c r="D21" s="92">
        <v>1.4</v>
      </c>
      <c r="E21" s="92">
        <v>0.2</v>
      </c>
      <c r="F21" s="92" t="s">
        <v>25</v>
      </c>
      <c r="G21" s="92" t="str">
        <f>IF([1]!DataIris[[#This Row],[Largo de sépalo]]&lt;=5.5,"CORTO",IF([1]!DataIris[[#This Row],[Largo de sépalo]]&lt;=6.7,"MEDIANO","LARGO"))</f>
        <v>CORTO</v>
      </c>
      <c r="H21" s="92" t="str">
        <f>IF([1]!DataIris[[#This Row],[Ancho de sépalo]]&lt;=3.2,"ESTRECHO","ANCHO")</f>
        <v>ESTRECHO</v>
      </c>
      <c r="I21" s="92" t="str">
        <f>IF([1]!DataIris[[#This Row],[Largo de pétalo]]&lt;=3,"CORTO",IF([1]!DataIris[[#This Row],[Largo de pétalo]]&lt;=5,"MEDIANO","LARGO"))</f>
        <v>CORTO</v>
      </c>
      <c r="J21" s="92" t="str">
        <f>IF([1]!DataIris[[#This Row],[Ancho de pétalo]]&lt;=1.4,"ESTRECHO","ANCHO")</f>
        <v>ESTRECHO</v>
      </c>
      <c r="K21" s="92" t="s">
        <v>26</v>
      </c>
    </row>
    <row r="22" spans="2:11">
      <c r="B22" s="92">
        <v>4.9000000000000004</v>
      </c>
      <c r="C22" s="92">
        <v>2.4</v>
      </c>
      <c r="D22" s="92">
        <v>3.3</v>
      </c>
      <c r="E22" s="92">
        <v>1</v>
      </c>
      <c r="F22" s="92" t="s">
        <v>26</v>
      </c>
      <c r="G22" s="92" t="str">
        <f>IF([1]!DataIris[[#This Row],[Largo de sépalo]]&lt;=5.5,"CORTO",IF([1]!DataIris[[#This Row],[Largo de sépalo]]&lt;=6.7,"MEDIANO","LARGO"))</f>
        <v>CORTO</v>
      </c>
      <c r="H22" s="92" t="str">
        <f>IF([1]!DataIris[[#This Row],[Ancho de sépalo]]&lt;=3.2,"ESTRECHO","ANCHO")</f>
        <v>ESTRECHO</v>
      </c>
      <c r="I22" s="92" t="str">
        <f>IF([1]!DataIris[[#This Row],[Largo de pétalo]]&lt;=3,"CORTO",IF([1]!DataIris[[#This Row],[Largo de pétalo]]&lt;=5,"MEDIANO","LARGO"))</f>
        <v>MEDIANO</v>
      </c>
      <c r="J22" s="92" t="str">
        <f>IF([1]!DataIris[[#This Row],[Ancho de pétalo]]&lt;=1.4,"ESTRECHO","ANCHO")</f>
        <v>ESTRECHO</v>
      </c>
      <c r="K22" s="92" t="s">
        <v>27</v>
      </c>
    </row>
    <row r="23" spans="2:11">
      <c r="B23" s="92">
        <v>4.9000000000000004</v>
      </c>
      <c r="C23" s="92">
        <v>2.5</v>
      </c>
      <c r="D23" s="92">
        <v>4.5</v>
      </c>
      <c r="E23" s="92">
        <v>1.7</v>
      </c>
      <c r="F23" s="92" t="s">
        <v>27</v>
      </c>
      <c r="G23" s="92" t="str">
        <f>IF([1]!DataIris[[#This Row],[Largo de sépalo]]&lt;=5.5,"CORTO",IF([1]!DataIris[[#This Row],[Largo de sépalo]]&lt;=6.7,"MEDIANO","LARGO"))</f>
        <v>CORTO</v>
      </c>
      <c r="H23" s="92" t="str">
        <f>IF([1]!DataIris[[#This Row],[Ancho de sépalo]]&lt;=3.2,"ESTRECHO","ANCHO")</f>
        <v>ESTRECHO</v>
      </c>
      <c r="I23" s="92" t="str">
        <f>IF([1]!DataIris[[#This Row],[Largo de pétalo]]&lt;=3,"CORTO",IF([1]!DataIris[[#This Row],[Largo de pétalo]]&lt;=5,"MEDIANO","LARGO"))</f>
        <v>MEDIANO</v>
      </c>
      <c r="J23" s="92" t="str">
        <f>IF([1]!DataIris[[#This Row],[Ancho de pétalo]]&lt;=1.4,"ESTRECHO","ANCHO")</f>
        <v>ANCHO</v>
      </c>
      <c r="K23" s="92" t="s">
        <v>27</v>
      </c>
    </row>
    <row r="24" spans="2:11">
      <c r="B24" s="92">
        <v>5</v>
      </c>
      <c r="C24" s="92">
        <v>3.2</v>
      </c>
      <c r="D24" s="92">
        <v>1.2</v>
      </c>
      <c r="E24" s="92">
        <v>0.2</v>
      </c>
      <c r="F24" s="92" t="s">
        <v>25</v>
      </c>
      <c r="G24" s="92" t="str">
        <f>IF([1]!DataIris[[#This Row],[Largo de sépalo]]&lt;=5.5,"CORTO",IF([1]!DataIris[[#This Row],[Largo de sépalo]]&lt;=6.7,"MEDIANO","LARGO"))</f>
        <v>CORTO</v>
      </c>
      <c r="H24" s="92" t="str">
        <f>IF([1]!DataIris[[#This Row],[Ancho de sépalo]]&lt;=3.2,"ESTRECHO","ANCHO")</f>
        <v>ESTRECHO</v>
      </c>
      <c r="I24" s="92" t="str">
        <f>IF([1]!DataIris[[#This Row],[Largo de pétalo]]&lt;=3,"CORTO",IF([1]!DataIris[[#This Row],[Largo de pétalo]]&lt;=5,"MEDIANO","LARGO"))</f>
        <v>CORTO</v>
      </c>
      <c r="J24" s="92" t="str">
        <f>IF([1]!DataIris[[#This Row],[Ancho de pétalo]]&lt;=1.4,"ESTRECHO","ANCHO")</f>
        <v>ESTRECHO</v>
      </c>
      <c r="K24" s="92" t="s">
        <v>25</v>
      </c>
    </row>
    <row r="25" spans="2:11">
      <c r="B25" s="92">
        <v>5</v>
      </c>
      <c r="C25" s="92">
        <v>3.3</v>
      </c>
      <c r="D25" s="92">
        <v>1.4</v>
      </c>
      <c r="E25" s="92">
        <v>0.2</v>
      </c>
      <c r="F25" s="92" t="s">
        <v>25</v>
      </c>
      <c r="G25" s="92" t="str">
        <f>IF([1]!DataIris[[#This Row],[Largo de sépalo]]&lt;=5.5,"CORTO",IF([1]!DataIris[[#This Row],[Largo de sépalo]]&lt;=6.7,"MEDIANO","LARGO"))</f>
        <v>CORTO</v>
      </c>
      <c r="H25" s="92" t="str">
        <f>IF([1]!DataIris[[#This Row],[Ancho de sépalo]]&lt;=3.2,"ESTRECHO","ANCHO")</f>
        <v>ANCHO</v>
      </c>
      <c r="I25" s="92" t="str">
        <f>IF([1]!DataIris[[#This Row],[Largo de pétalo]]&lt;=3,"CORTO",IF([1]!DataIris[[#This Row],[Largo de pétalo]]&lt;=5,"MEDIANO","LARGO"))</f>
        <v>CORTO</v>
      </c>
      <c r="J25" s="92" t="str">
        <f>IF([1]!DataIris[[#This Row],[Ancho de pétalo]]&lt;=1.4,"ESTRECHO","ANCHO")</f>
        <v>ESTRECHO</v>
      </c>
      <c r="K25" s="92" t="s">
        <v>25</v>
      </c>
    </row>
    <row r="26" spans="2:11">
      <c r="B26" s="92">
        <v>5</v>
      </c>
      <c r="C26" s="92">
        <v>3.6</v>
      </c>
      <c r="D26" s="92">
        <v>1.4</v>
      </c>
      <c r="E26" s="92">
        <v>0.2</v>
      </c>
      <c r="F26" s="92" t="s">
        <v>25</v>
      </c>
      <c r="G26" s="92" t="str">
        <f>IF([1]!DataIris[[#This Row],[Largo de sépalo]]&lt;=5.5,"CORTO",IF([1]!DataIris[[#This Row],[Largo de sépalo]]&lt;=6.7,"MEDIANO","LARGO"))</f>
        <v>CORTO</v>
      </c>
      <c r="H26" s="92" t="str">
        <f>IF([1]!DataIris[[#This Row],[Ancho de sépalo]]&lt;=3.2,"ESTRECHO","ANCHO")</f>
        <v>ANCHO</v>
      </c>
      <c r="I26" s="92" t="str">
        <f>IF([1]!DataIris[[#This Row],[Largo de pétalo]]&lt;=3,"CORTO",IF([1]!DataIris[[#This Row],[Largo de pétalo]]&lt;=5,"MEDIANO","LARGO"))</f>
        <v>CORTO</v>
      </c>
      <c r="J26" s="92" t="str">
        <f>IF([1]!DataIris[[#This Row],[Ancho de pétalo]]&lt;=1.4,"ESTRECHO","ANCHO")</f>
        <v>ESTRECHO</v>
      </c>
      <c r="K26" s="92" t="s">
        <v>26</v>
      </c>
    </row>
    <row r="27" spans="2:11">
      <c r="B27" s="92">
        <v>5</v>
      </c>
      <c r="C27" s="92">
        <v>3.4</v>
      </c>
      <c r="D27" s="92">
        <v>1.5</v>
      </c>
      <c r="E27" s="92">
        <v>0.2</v>
      </c>
      <c r="F27" s="92" t="s">
        <v>25</v>
      </c>
      <c r="G27" s="92" t="str">
        <f>IF([1]!DataIris[[#This Row],[Largo de sépalo]]&lt;=5.5,"CORTO",IF([1]!DataIris[[#This Row],[Largo de sépalo]]&lt;=6.7,"MEDIANO","LARGO"))</f>
        <v>CORTO</v>
      </c>
      <c r="H27" s="92" t="str">
        <f>IF([1]!DataIris[[#This Row],[Ancho de sépalo]]&lt;=3.2,"ESTRECHO","ANCHO")</f>
        <v>ANCHO</v>
      </c>
      <c r="I27" s="92" t="str">
        <f>IF([1]!DataIris[[#This Row],[Largo de pétalo]]&lt;=3,"CORTO",IF([1]!DataIris[[#This Row],[Largo de pétalo]]&lt;=5,"MEDIANO","LARGO"))</f>
        <v>CORTO</v>
      </c>
      <c r="J27" s="92" t="str">
        <f>IF([1]!DataIris[[#This Row],[Ancho de pétalo]]&lt;=1.4,"ESTRECHO","ANCHO")</f>
        <v>ESTRECHO</v>
      </c>
      <c r="K27" s="92" t="s">
        <v>26</v>
      </c>
    </row>
    <row r="28" spans="2:11">
      <c r="B28" s="92">
        <v>5</v>
      </c>
      <c r="C28" s="92">
        <v>3</v>
      </c>
      <c r="D28" s="92">
        <v>1.6</v>
      </c>
      <c r="E28" s="92">
        <v>0.2</v>
      </c>
      <c r="F28" s="92" t="s">
        <v>25</v>
      </c>
      <c r="G28" s="92" t="str">
        <f>IF([1]!DataIris[[#This Row],[Largo de sépalo]]&lt;=5.5,"CORTO",IF([1]!DataIris[[#This Row],[Largo de sépalo]]&lt;=6.7,"MEDIANO","LARGO"))</f>
        <v>CORTO</v>
      </c>
      <c r="H28" s="92" t="str">
        <f>IF([1]!DataIris[[#This Row],[Ancho de sépalo]]&lt;=3.2,"ESTRECHO","ANCHO")</f>
        <v>ESTRECHO</v>
      </c>
      <c r="I28" s="92" t="str">
        <f>IF([1]!DataIris[[#This Row],[Largo de pétalo]]&lt;=3,"CORTO",IF([1]!DataIris[[#This Row],[Largo de pétalo]]&lt;=5,"MEDIANO","LARGO"))</f>
        <v>CORTO</v>
      </c>
      <c r="J28" s="92" t="str">
        <f>IF([1]!DataIris[[#This Row],[Ancho de pétalo]]&lt;=1.4,"ESTRECHO","ANCHO")</f>
        <v>ESTRECHO</v>
      </c>
      <c r="K28" s="92" t="s">
        <v>26</v>
      </c>
    </row>
    <row r="29" spans="2:11">
      <c r="B29" s="92">
        <v>5</v>
      </c>
      <c r="C29" s="92">
        <v>3.5</v>
      </c>
      <c r="D29" s="92">
        <v>1.3</v>
      </c>
      <c r="E29" s="92">
        <v>0.3</v>
      </c>
      <c r="F29" s="92" t="s">
        <v>25</v>
      </c>
      <c r="G29" s="92" t="str">
        <f>IF([1]!DataIris[[#This Row],[Largo de sépalo]]&lt;=5.5,"CORTO",IF([1]!DataIris[[#This Row],[Largo de sépalo]]&lt;=6.7,"MEDIANO","LARGO"))</f>
        <v>CORTO</v>
      </c>
      <c r="H29" s="92" t="str">
        <f>IF([1]!DataIris[[#This Row],[Ancho de sépalo]]&lt;=3.2,"ESTRECHO","ANCHO")</f>
        <v>ANCHO</v>
      </c>
      <c r="I29" s="92" t="str">
        <f>IF([1]!DataIris[[#This Row],[Largo de pétalo]]&lt;=3,"CORTO",IF([1]!DataIris[[#This Row],[Largo de pétalo]]&lt;=5,"MEDIANO","LARGO"))</f>
        <v>CORTO</v>
      </c>
      <c r="J29" s="92" t="str">
        <f>IF([1]!DataIris[[#This Row],[Ancho de pétalo]]&lt;=1.4,"ESTRECHO","ANCHO")</f>
        <v>ESTRECHO</v>
      </c>
      <c r="K29" s="92" t="s">
        <v>27</v>
      </c>
    </row>
    <row r="30" spans="2:11">
      <c r="B30" s="92">
        <v>5</v>
      </c>
      <c r="C30" s="92">
        <v>3.4</v>
      </c>
      <c r="D30" s="92">
        <v>1.6</v>
      </c>
      <c r="E30" s="92">
        <v>0.4</v>
      </c>
      <c r="F30" s="92" t="s">
        <v>25</v>
      </c>
      <c r="G30" s="92" t="str">
        <f>IF([1]!DataIris[[#This Row],[Largo de sépalo]]&lt;=5.5,"CORTO",IF([1]!DataIris[[#This Row],[Largo de sépalo]]&lt;=6.7,"MEDIANO","LARGO"))</f>
        <v>CORTO</v>
      </c>
      <c r="H30" s="92" t="str">
        <f>IF([1]!DataIris[[#This Row],[Ancho de sépalo]]&lt;=3.2,"ESTRECHO","ANCHO")</f>
        <v>ANCHO</v>
      </c>
      <c r="I30" s="92" t="str">
        <f>IF([1]!DataIris[[#This Row],[Largo de pétalo]]&lt;=3,"CORTO",IF([1]!DataIris[[#This Row],[Largo de pétalo]]&lt;=5,"MEDIANO","LARGO"))</f>
        <v>CORTO</v>
      </c>
      <c r="J30" s="92" t="str">
        <f>IF([1]!DataIris[[#This Row],[Ancho de pétalo]]&lt;=1.4,"ESTRECHO","ANCHO")</f>
        <v>ESTRECHO</v>
      </c>
      <c r="K30" s="92" t="s">
        <v>26</v>
      </c>
    </row>
    <row r="31" spans="2:11">
      <c r="B31" s="92">
        <v>5</v>
      </c>
      <c r="C31" s="92">
        <v>3.5</v>
      </c>
      <c r="D31" s="92">
        <v>1.6</v>
      </c>
      <c r="E31" s="92">
        <v>0.6</v>
      </c>
      <c r="F31" s="92" t="s">
        <v>25</v>
      </c>
      <c r="G31" s="92" t="str">
        <f>IF([1]!DataIris[[#This Row],[Largo de sépalo]]&lt;=5.5,"CORTO",IF([1]!DataIris[[#This Row],[Largo de sépalo]]&lt;=6.7,"MEDIANO","LARGO"))</f>
        <v>CORTO</v>
      </c>
      <c r="H31" s="92" t="str">
        <f>IF([1]!DataIris[[#This Row],[Ancho de sépalo]]&lt;=3.2,"ESTRECHO","ANCHO")</f>
        <v>ANCHO</v>
      </c>
      <c r="I31" s="92" t="str">
        <f>IF([1]!DataIris[[#This Row],[Largo de pétalo]]&lt;=3,"CORTO",IF([1]!DataIris[[#This Row],[Largo de pétalo]]&lt;=5,"MEDIANO","LARGO"))</f>
        <v>CORTO</v>
      </c>
      <c r="J31" s="92" t="str">
        <f>IF([1]!DataIris[[#This Row],[Ancho de pétalo]]&lt;=1.4,"ESTRECHO","ANCHO")</f>
        <v>ESTRECHO</v>
      </c>
      <c r="K31" s="92" t="s">
        <v>27</v>
      </c>
    </row>
    <row r="32" spans="2:11">
      <c r="B32" s="92">
        <v>5</v>
      </c>
      <c r="C32" s="92">
        <v>2.2999999999999998</v>
      </c>
      <c r="D32" s="92">
        <v>3.3</v>
      </c>
      <c r="E32" s="92">
        <v>1</v>
      </c>
      <c r="F32" s="92" t="s">
        <v>26</v>
      </c>
      <c r="G32" s="92" t="str">
        <f>IF([1]!DataIris[[#This Row],[Largo de sépalo]]&lt;=5.5,"CORTO",IF([1]!DataIris[[#This Row],[Largo de sépalo]]&lt;=6.7,"MEDIANO","LARGO"))</f>
        <v>CORTO</v>
      </c>
      <c r="H32" s="92" t="str">
        <f>IF([1]!DataIris[[#This Row],[Ancho de sépalo]]&lt;=3.2,"ESTRECHO","ANCHO")</f>
        <v>ESTRECHO</v>
      </c>
      <c r="I32" s="92" t="str">
        <f>IF([1]!DataIris[[#This Row],[Largo de pétalo]]&lt;=3,"CORTO",IF([1]!DataIris[[#This Row],[Largo de pétalo]]&lt;=5,"MEDIANO","LARGO"))</f>
        <v>MEDIANO</v>
      </c>
      <c r="J32" s="92" t="str">
        <f>IF([1]!DataIris[[#This Row],[Ancho de pétalo]]&lt;=1.4,"ESTRECHO","ANCHO")</f>
        <v>ESTRECHO</v>
      </c>
      <c r="K32" s="92" t="s">
        <v>27</v>
      </c>
    </row>
    <row r="33" spans="2:11">
      <c r="B33" s="92">
        <v>5</v>
      </c>
      <c r="C33" s="92">
        <v>2</v>
      </c>
      <c r="D33" s="92">
        <v>3.5</v>
      </c>
      <c r="E33" s="92">
        <v>1</v>
      </c>
      <c r="F33" s="92" t="s">
        <v>26</v>
      </c>
      <c r="G33" s="92" t="str">
        <f>IF([1]!DataIris[[#This Row],[Largo de sépalo]]&lt;=5.5,"CORTO",IF([1]!DataIris[[#This Row],[Largo de sépalo]]&lt;=6.7,"MEDIANO","LARGO"))</f>
        <v>CORTO</v>
      </c>
      <c r="H33" s="92" t="str">
        <f>IF([1]!DataIris[[#This Row],[Ancho de sépalo]]&lt;=3.2,"ESTRECHO","ANCHO")</f>
        <v>ESTRECHO</v>
      </c>
      <c r="I33" s="92" t="str">
        <f>IF([1]!DataIris[[#This Row],[Largo de pétalo]]&lt;=3,"CORTO",IF([1]!DataIris[[#This Row],[Largo de pétalo]]&lt;=5,"MEDIANO","LARGO"))</f>
        <v>MEDIANO</v>
      </c>
      <c r="J33" s="92" t="str">
        <f>IF([1]!DataIris[[#This Row],[Ancho de pétalo]]&lt;=1.4,"ESTRECHO","ANCHO")</f>
        <v>ESTRECHO</v>
      </c>
      <c r="K33" s="92" t="s">
        <v>26</v>
      </c>
    </row>
    <row r="34" spans="2:11">
      <c r="B34" s="92">
        <v>5.0999999999999996</v>
      </c>
      <c r="C34" s="92">
        <v>3.5</v>
      </c>
      <c r="D34" s="92">
        <v>1.4</v>
      </c>
      <c r="E34" s="92">
        <v>0.2</v>
      </c>
      <c r="F34" s="92" t="s">
        <v>25</v>
      </c>
      <c r="G34" s="92" t="str">
        <f>IF([1]!DataIris[[#This Row],[Largo de sépalo]]&lt;=5.5,"CORTO",IF([1]!DataIris[[#This Row],[Largo de sépalo]]&lt;=6.7,"MEDIANO","LARGO"))</f>
        <v>CORTO</v>
      </c>
      <c r="H34" s="92" t="str">
        <f>IF([1]!DataIris[[#This Row],[Ancho de sépalo]]&lt;=3.2,"ESTRECHO","ANCHO")</f>
        <v>ANCHO</v>
      </c>
      <c r="I34" s="92" t="str">
        <f>IF([1]!DataIris[[#This Row],[Largo de pétalo]]&lt;=3,"CORTO",IF([1]!DataIris[[#This Row],[Largo de pétalo]]&lt;=5,"MEDIANO","LARGO"))</f>
        <v>CORTO</v>
      </c>
      <c r="J34" s="92" t="str">
        <f>IF([1]!DataIris[[#This Row],[Ancho de pétalo]]&lt;=1.4,"ESTRECHO","ANCHO")</f>
        <v>ESTRECHO</v>
      </c>
      <c r="K34" s="92" t="s">
        <v>27</v>
      </c>
    </row>
    <row r="35" spans="2:11">
      <c r="B35" s="92">
        <v>5.0999999999999996</v>
      </c>
      <c r="C35" s="92">
        <v>3.4</v>
      </c>
      <c r="D35" s="92">
        <v>1.5</v>
      </c>
      <c r="E35" s="92">
        <v>0.2</v>
      </c>
      <c r="F35" s="92" t="s">
        <v>25</v>
      </c>
      <c r="G35" s="92" t="str">
        <f>IF([1]!DataIris[[#This Row],[Largo de sépalo]]&lt;=5.5,"CORTO",IF([1]!DataIris[[#This Row],[Largo de sépalo]]&lt;=6.7,"MEDIANO","LARGO"))</f>
        <v>CORTO</v>
      </c>
      <c r="H35" s="92" t="str">
        <f>IF([1]!DataIris[[#This Row],[Ancho de sépalo]]&lt;=3.2,"ESTRECHO","ANCHO")</f>
        <v>ANCHO</v>
      </c>
      <c r="I35" s="92" t="str">
        <f>IF([1]!DataIris[[#This Row],[Largo de pétalo]]&lt;=3,"CORTO",IF([1]!DataIris[[#This Row],[Largo de pétalo]]&lt;=5,"MEDIANO","LARGO"))</f>
        <v>CORTO</v>
      </c>
      <c r="J35" s="92" t="str">
        <f>IF([1]!DataIris[[#This Row],[Ancho de pétalo]]&lt;=1.4,"ESTRECHO","ANCHO")</f>
        <v>ESTRECHO</v>
      </c>
      <c r="K35" s="92" t="s">
        <v>27</v>
      </c>
    </row>
    <row r="36" spans="2:11">
      <c r="B36" s="92">
        <v>5.0999999999999996</v>
      </c>
      <c r="C36" s="92">
        <v>3.8</v>
      </c>
      <c r="D36" s="92">
        <v>1.6</v>
      </c>
      <c r="E36" s="92">
        <v>0.2</v>
      </c>
      <c r="F36" s="92" t="s">
        <v>25</v>
      </c>
      <c r="G36" s="92" t="str">
        <f>IF([1]!DataIris[[#This Row],[Largo de sépalo]]&lt;=5.5,"CORTO",IF([1]!DataIris[[#This Row],[Largo de sépalo]]&lt;=6.7,"MEDIANO","LARGO"))</f>
        <v>CORTO</v>
      </c>
      <c r="H36" s="92" t="str">
        <f>IF([1]!DataIris[[#This Row],[Ancho de sépalo]]&lt;=3.2,"ESTRECHO","ANCHO")</f>
        <v>ANCHO</v>
      </c>
      <c r="I36" s="92" t="str">
        <f>IF([1]!DataIris[[#This Row],[Largo de pétalo]]&lt;=3,"CORTO",IF([1]!DataIris[[#This Row],[Largo de pétalo]]&lt;=5,"MEDIANO","LARGO"))</f>
        <v>CORTO</v>
      </c>
      <c r="J36" s="92" t="str">
        <f>IF([1]!DataIris[[#This Row],[Ancho de pétalo]]&lt;=1.4,"ESTRECHO","ANCHO")</f>
        <v>ESTRECHO</v>
      </c>
      <c r="K36" s="92" t="s">
        <v>27</v>
      </c>
    </row>
    <row r="37" spans="2:11">
      <c r="B37" s="92">
        <v>5.0999999999999996</v>
      </c>
      <c r="C37" s="92">
        <v>3.5</v>
      </c>
      <c r="D37" s="92">
        <v>1.4</v>
      </c>
      <c r="E37" s="92">
        <v>0.3</v>
      </c>
      <c r="F37" s="92" t="s">
        <v>25</v>
      </c>
      <c r="G37" s="92" t="str">
        <f>IF([1]!DataIris[[#This Row],[Largo de sépalo]]&lt;=5.5,"CORTO",IF([1]!DataIris[[#This Row],[Largo de sépalo]]&lt;=6.7,"MEDIANO","LARGO"))</f>
        <v>CORTO</v>
      </c>
      <c r="H37" s="92" t="str">
        <f>IF([1]!DataIris[[#This Row],[Ancho de sépalo]]&lt;=3.2,"ESTRECHO","ANCHO")</f>
        <v>ANCHO</v>
      </c>
      <c r="I37" s="92" t="str">
        <f>IF([1]!DataIris[[#This Row],[Largo de pétalo]]&lt;=3,"CORTO",IF([1]!DataIris[[#This Row],[Largo de pétalo]]&lt;=5,"MEDIANO","LARGO"))</f>
        <v>CORTO</v>
      </c>
      <c r="J37" s="92" t="str">
        <f>IF([1]!DataIris[[#This Row],[Ancho de pétalo]]&lt;=1.4,"ESTRECHO","ANCHO")</f>
        <v>ESTRECHO</v>
      </c>
      <c r="K37" s="92" t="s">
        <v>27</v>
      </c>
    </row>
    <row r="38" spans="2:11">
      <c r="B38" s="92">
        <v>5.0999999999999996</v>
      </c>
      <c r="C38" s="92">
        <v>3.8</v>
      </c>
      <c r="D38" s="92">
        <v>1.5</v>
      </c>
      <c r="E38" s="92">
        <v>0.3</v>
      </c>
      <c r="F38" s="92" t="s">
        <v>25</v>
      </c>
      <c r="G38" s="92" t="str">
        <f>IF([1]!DataIris[[#This Row],[Largo de sépalo]]&lt;=5.5,"CORTO",IF([1]!DataIris[[#This Row],[Largo de sépalo]]&lt;=6.7,"MEDIANO","LARGO"))</f>
        <v>CORTO</v>
      </c>
      <c r="H38" s="92" t="str">
        <f>IF([1]!DataIris[[#This Row],[Ancho de sépalo]]&lt;=3.2,"ESTRECHO","ANCHO")</f>
        <v>ANCHO</v>
      </c>
      <c r="I38" s="92" t="str">
        <f>IF([1]!DataIris[[#This Row],[Largo de pétalo]]&lt;=3,"CORTO",IF([1]!DataIris[[#This Row],[Largo de pétalo]]&lt;=5,"MEDIANO","LARGO"))</f>
        <v>CORTO</v>
      </c>
      <c r="J38" s="92" t="str">
        <f>IF([1]!DataIris[[#This Row],[Ancho de pétalo]]&lt;=1.4,"ESTRECHO","ANCHO")</f>
        <v>ESTRECHO</v>
      </c>
      <c r="K38" s="92" t="s">
        <v>27</v>
      </c>
    </row>
    <row r="39" spans="2:11">
      <c r="B39" s="92">
        <v>5.0999999999999996</v>
      </c>
      <c r="C39" s="92">
        <v>3.7</v>
      </c>
      <c r="D39" s="92">
        <v>1.5</v>
      </c>
      <c r="E39" s="92">
        <v>0.4</v>
      </c>
      <c r="F39" s="92" t="s">
        <v>25</v>
      </c>
      <c r="G39" s="92" t="str">
        <f>IF([1]!DataIris[[#This Row],[Largo de sépalo]]&lt;=5.5,"CORTO",IF([1]!DataIris[[#This Row],[Largo de sépalo]]&lt;=6.7,"MEDIANO","LARGO"))</f>
        <v>CORTO</v>
      </c>
      <c r="H39" s="92" t="str">
        <f>IF([1]!DataIris[[#This Row],[Ancho de sépalo]]&lt;=3.2,"ESTRECHO","ANCHO")</f>
        <v>ANCHO</v>
      </c>
      <c r="I39" s="92" t="str">
        <f>IF([1]!DataIris[[#This Row],[Largo de pétalo]]&lt;=3,"CORTO",IF([1]!DataIris[[#This Row],[Largo de pétalo]]&lt;=5,"MEDIANO","LARGO"))</f>
        <v>CORTO</v>
      </c>
      <c r="J39" s="92" t="str">
        <f>IF([1]!DataIris[[#This Row],[Ancho de pétalo]]&lt;=1.4,"ESTRECHO","ANCHO")</f>
        <v>ESTRECHO</v>
      </c>
      <c r="K39" s="92" t="s">
        <v>27</v>
      </c>
    </row>
    <row r="40" spans="2:11">
      <c r="B40" s="92">
        <v>5.0999999999999996</v>
      </c>
      <c r="C40" s="92">
        <v>3.8</v>
      </c>
      <c r="D40" s="92">
        <v>1.9</v>
      </c>
      <c r="E40" s="92">
        <v>0.4</v>
      </c>
      <c r="F40" s="92" t="s">
        <v>25</v>
      </c>
      <c r="G40" s="92" t="str">
        <f>IF([1]!DataIris[[#This Row],[Largo de sépalo]]&lt;=5.5,"CORTO",IF([1]!DataIris[[#This Row],[Largo de sépalo]]&lt;=6.7,"MEDIANO","LARGO"))</f>
        <v>CORTO</v>
      </c>
      <c r="H40" s="92" t="str">
        <f>IF([1]!DataIris[[#This Row],[Ancho de sépalo]]&lt;=3.2,"ESTRECHO","ANCHO")</f>
        <v>ANCHO</v>
      </c>
      <c r="I40" s="92" t="str">
        <f>IF([1]!DataIris[[#This Row],[Largo de pétalo]]&lt;=3,"CORTO",IF([1]!DataIris[[#This Row],[Largo de pétalo]]&lt;=5,"MEDIANO","LARGO"))</f>
        <v>CORTO</v>
      </c>
      <c r="J40" s="92" t="str">
        <f>IF([1]!DataIris[[#This Row],[Ancho de pétalo]]&lt;=1.4,"ESTRECHO","ANCHO")</f>
        <v>ESTRECHO</v>
      </c>
      <c r="K40" s="92" t="s">
        <v>27</v>
      </c>
    </row>
    <row r="41" spans="2:11">
      <c r="B41" s="92">
        <v>5.0999999999999996</v>
      </c>
      <c r="C41" s="92">
        <v>3.3</v>
      </c>
      <c r="D41" s="92">
        <v>1.7</v>
      </c>
      <c r="E41" s="92">
        <v>0.5</v>
      </c>
      <c r="F41" s="92" t="s">
        <v>25</v>
      </c>
      <c r="G41" s="92" t="str">
        <f>IF([1]!DataIris[[#This Row],[Largo de sépalo]]&lt;=5.5,"CORTO",IF([1]!DataIris[[#This Row],[Largo de sépalo]]&lt;=6.7,"MEDIANO","LARGO"))</f>
        <v>CORTO</v>
      </c>
      <c r="H41" s="92" t="str">
        <f>IF([1]!DataIris[[#This Row],[Ancho de sépalo]]&lt;=3.2,"ESTRECHO","ANCHO")</f>
        <v>ANCHO</v>
      </c>
      <c r="I41" s="92" t="str">
        <f>IF([1]!DataIris[[#This Row],[Largo de pétalo]]&lt;=3,"CORTO",IF([1]!DataIris[[#This Row],[Largo de pétalo]]&lt;=5,"MEDIANO","LARGO"))</f>
        <v>CORTO</v>
      </c>
      <c r="J41" s="92" t="str">
        <f>IF([1]!DataIris[[#This Row],[Ancho de pétalo]]&lt;=1.4,"ESTRECHO","ANCHO")</f>
        <v>ESTRECHO</v>
      </c>
      <c r="K41" s="92" t="s">
        <v>27</v>
      </c>
    </row>
    <row r="42" spans="2:11">
      <c r="B42" s="92">
        <v>5.0999999999999996</v>
      </c>
      <c r="C42" s="92">
        <v>2.5</v>
      </c>
      <c r="D42" s="92">
        <v>3</v>
      </c>
      <c r="E42" s="92">
        <v>1.1000000000000001</v>
      </c>
      <c r="F42" s="92" t="s">
        <v>26</v>
      </c>
      <c r="G42" s="92" t="str">
        <f>IF([1]!DataIris[[#This Row],[Largo de sépalo]]&lt;=5.5,"CORTO",IF([1]!DataIris[[#This Row],[Largo de sépalo]]&lt;=6.7,"MEDIANO","LARGO"))</f>
        <v>CORTO</v>
      </c>
      <c r="H42" s="92" t="str">
        <f>IF([1]!DataIris[[#This Row],[Ancho de sépalo]]&lt;=3.2,"ESTRECHO","ANCHO")</f>
        <v>ESTRECHO</v>
      </c>
      <c r="I42" s="92" t="str">
        <f>IF([1]!DataIris[[#This Row],[Largo de pétalo]]&lt;=3,"CORTO",IF([1]!DataIris[[#This Row],[Largo de pétalo]]&lt;=5,"MEDIANO","LARGO"))</f>
        <v>CORTO</v>
      </c>
      <c r="J42" s="92" t="str">
        <f>IF([1]!DataIris[[#This Row],[Ancho de pétalo]]&lt;=1.4,"ESTRECHO","ANCHO")</f>
        <v>ESTRECHO</v>
      </c>
      <c r="K42" s="92" t="s">
        <v>25</v>
      </c>
    </row>
    <row r="43" spans="2:11">
      <c r="B43" s="92">
        <v>5.2</v>
      </c>
      <c r="C43" s="92">
        <v>4.0999999999999996</v>
      </c>
      <c r="D43" s="92">
        <v>1.5</v>
      </c>
      <c r="E43" s="92">
        <v>0.1</v>
      </c>
      <c r="F43" s="92" t="s">
        <v>25</v>
      </c>
      <c r="G43" s="92" t="str">
        <f>IF([1]!DataIris[[#This Row],[Largo de sépalo]]&lt;=5.5,"CORTO",IF([1]!DataIris[[#This Row],[Largo de sépalo]]&lt;=6.7,"MEDIANO","LARGO"))</f>
        <v>CORTO</v>
      </c>
      <c r="H43" s="92" t="str">
        <f>IF([1]!DataIris[[#This Row],[Ancho de sépalo]]&lt;=3.2,"ESTRECHO","ANCHO")</f>
        <v>ANCHO</v>
      </c>
      <c r="I43" s="92" t="str">
        <f>IF([1]!DataIris[[#This Row],[Largo de pétalo]]&lt;=3,"CORTO",IF([1]!DataIris[[#This Row],[Largo de pétalo]]&lt;=5,"MEDIANO","LARGO"))</f>
        <v>CORTO</v>
      </c>
      <c r="J43" s="92" t="str">
        <f>IF([1]!DataIris[[#This Row],[Ancho de pétalo]]&lt;=1.4,"ESTRECHO","ANCHO")</f>
        <v>ESTRECHO</v>
      </c>
      <c r="K43" s="92" t="s">
        <v>25</v>
      </c>
    </row>
    <row r="44" spans="2:11">
      <c r="B44" s="92">
        <v>5.2</v>
      </c>
      <c r="C44" s="92">
        <v>3.4</v>
      </c>
      <c r="D44" s="92">
        <v>1.4</v>
      </c>
      <c r="E44" s="92">
        <v>0.2</v>
      </c>
      <c r="F44" s="92" t="s">
        <v>25</v>
      </c>
      <c r="G44" s="92" t="str">
        <f>IF([1]!DataIris[[#This Row],[Largo de sépalo]]&lt;=5.5,"CORTO",IF([1]!DataIris[[#This Row],[Largo de sépalo]]&lt;=6.7,"MEDIANO","LARGO"))</f>
        <v>CORTO</v>
      </c>
      <c r="H44" s="92" t="str">
        <f>IF([1]!DataIris[[#This Row],[Ancho de sépalo]]&lt;=3.2,"ESTRECHO","ANCHO")</f>
        <v>ANCHO</v>
      </c>
      <c r="I44" s="92" t="str">
        <f>IF([1]!DataIris[[#This Row],[Largo de pétalo]]&lt;=3,"CORTO",IF([1]!DataIris[[#This Row],[Largo de pétalo]]&lt;=5,"MEDIANO","LARGO"))</f>
        <v>CORTO</v>
      </c>
      <c r="J44" s="92" t="str">
        <f>IF([1]!DataIris[[#This Row],[Ancho de pétalo]]&lt;=1.4,"ESTRECHO","ANCHO")</f>
        <v>ESTRECHO</v>
      </c>
      <c r="K44" s="92" t="s">
        <v>26</v>
      </c>
    </row>
    <row r="45" spans="2:11">
      <c r="B45" s="92">
        <v>5.2</v>
      </c>
      <c r="C45" s="92">
        <v>3.5</v>
      </c>
      <c r="D45" s="92">
        <v>1.5</v>
      </c>
      <c r="E45" s="92">
        <v>0.2</v>
      </c>
      <c r="F45" s="92" t="s">
        <v>25</v>
      </c>
      <c r="G45" s="92" t="str">
        <f>IF([1]!DataIris[[#This Row],[Largo de sépalo]]&lt;=5.5,"CORTO",IF([1]!DataIris[[#This Row],[Largo de sépalo]]&lt;=6.7,"MEDIANO","LARGO"))</f>
        <v>CORTO</v>
      </c>
      <c r="H45" s="92" t="str">
        <f>IF([1]!DataIris[[#This Row],[Ancho de sépalo]]&lt;=3.2,"ESTRECHO","ANCHO")</f>
        <v>ANCHO</v>
      </c>
      <c r="I45" s="92" t="str">
        <f>IF([1]!DataIris[[#This Row],[Largo de pétalo]]&lt;=3,"CORTO",IF([1]!DataIris[[#This Row],[Largo de pétalo]]&lt;=5,"MEDIANO","LARGO"))</f>
        <v>CORTO</v>
      </c>
      <c r="J45" s="92" t="str">
        <f>IF([1]!DataIris[[#This Row],[Ancho de pétalo]]&lt;=1.4,"ESTRECHO","ANCHO")</f>
        <v>ESTRECHO</v>
      </c>
      <c r="K45" s="92" t="s">
        <v>26</v>
      </c>
    </row>
    <row r="46" spans="2:11">
      <c r="B46" s="92">
        <v>5.2</v>
      </c>
      <c r="C46" s="92">
        <v>2.7</v>
      </c>
      <c r="D46" s="92">
        <v>3.9</v>
      </c>
      <c r="E46" s="92">
        <v>1.4</v>
      </c>
      <c r="F46" s="92" t="s">
        <v>26</v>
      </c>
      <c r="G46" s="92" t="str">
        <f>IF([1]!DataIris[[#This Row],[Largo de sépalo]]&lt;=5.5,"CORTO",IF([1]!DataIris[[#This Row],[Largo de sépalo]]&lt;=6.7,"MEDIANO","LARGO"))</f>
        <v>CORTO</v>
      </c>
      <c r="H46" s="92" t="str">
        <f>IF([1]!DataIris[[#This Row],[Ancho de sépalo]]&lt;=3.2,"ESTRECHO","ANCHO")</f>
        <v>ESTRECHO</v>
      </c>
      <c r="I46" s="92" t="str">
        <f>IF([1]!DataIris[[#This Row],[Largo de pétalo]]&lt;=3,"CORTO",IF([1]!DataIris[[#This Row],[Largo de pétalo]]&lt;=5,"MEDIANO","LARGO"))</f>
        <v>MEDIANO</v>
      </c>
      <c r="J46" s="92" t="str">
        <f>IF([1]!DataIris[[#This Row],[Ancho de pétalo]]&lt;=1.4,"ESTRECHO","ANCHO")</f>
        <v>ESTRECHO</v>
      </c>
      <c r="K46" s="92" t="s">
        <v>26</v>
      </c>
    </row>
    <row r="47" spans="2:11">
      <c r="B47" s="92">
        <v>5.3</v>
      </c>
      <c r="C47" s="92">
        <v>3.7</v>
      </c>
      <c r="D47" s="92">
        <v>1.5</v>
      </c>
      <c r="E47" s="92">
        <v>0.2</v>
      </c>
      <c r="F47" s="92" t="s">
        <v>25</v>
      </c>
      <c r="G47" s="92" t="str">
        <f>IF([1]!DataIris[[#This Row],[Largo de sépalo]]&lt;=5.5,"CORTO",IF([1]!DataIris[[#This Row],[Largo de sépalo]]&lt;=6.7,"MEDIANO","LARGO"))</f>
        <v>CORTO</v>
      </c>
      <c r="H47" s="92" t="str">
        <f>IF([1]!DataIris[[#This Row],[Ancho de sépalo]]&lt;=3.2,"ESTRECHO","ANCHO")</f>
        <v>ANCHO</v>
      </c>
      <c r="I47" s="92" t="str">
        <f>IF([1]!DataIris[[#This Row],[Largo de pétalo]]&lt;=3,"CORTO",IF([1]!DataIris[[#This Row],[Largo de pétalo]]&lt;=5,"MEDIANO","LARGO"))</f>
        <v>CORTO</v>
      </c>
      <c r="J47" s="92" t="str">
        <f>IF([1]!DataIris[[#This Row],[Ancho de pétalo]]&lt;=1.4,"ESTRECHO","ANCHO")</f>
        <v>ESTRECHO</v>
      </c>
      <c r="K47" s="92" t="s">
        <v>27</v>
      </c>
    </row>
    <row r="48" spans="2:11">
      <c r="B48" s="92">
        <v>5.4</v>
      </c>
      <c r="C48" s="92">
        <v>3.7</v>
      </c>
      <c r="D48" s="92">
        <v>1.5</v>
      </c>
      <c r="E48" s="92">
        <v>0.2</v>
      </c>
      <c r="F48" s="92" t="s">
        <v>25</v>
      </c>
      <c r="G48" s="92" t="str">
        <f>IF([1]!DataIris[[#This Row],[Largo de sépalo]]&lt;=5.5,"CORTO",IF([1]!DataIris[[#This Row],[Largo de sépalo]]&lt;=6.7,"MEDIANO","LARGO"))</f>
        <v>CORTO</v>
      </c>
      <c r="H48" s="92" t="str">
        <f>IF([1]!DataIris[[#This Row],[Ancho de sépalo]]&lt;=3.2,"ESTRECHO","ANCHO")</f>
        <v>ANCHO</v>
      </c>
      <c r="I48" s="92" t="str">
        <f>IF([1]!DataIris[[#This Row],[Largo de pétalo]]&lt;=3,"CORTO",IF([1]!DataIris[[#This Row],[Largo de pétalo]]&lt;=5,"MEDIANO","LARGO"))</f>
        <v>CORTO</v>
      </c>
      <c r="J48" s="92" t="str">
        <f>IF([1]!DataIris[[#This Row],[Ancho de pétalo]]&lt;=1.4,"ESTRECHO","ANCHO")</f>
        <v>ESTRECHO</v>
      </c>
      <c r="K48" s="92" t="s">
        <v>25</v>
      </c>
    </row>
    <row r="49" spans="2:11">
      <c r="B49" s="92">
        <v>5.4</v>
      </c>
      <c r="C49" s="92">
        <v>3.4</v>
      </c>
      <c r="D49" s="92">
        <v>1.7</v>
      </c>
      <c r="E49" s="92">
        <v>0.2</v>
      </c>
      <c r="F49" s="92" t="s">
        <v>25</v>
      </c>
      <c r="G49" s="92" t="str">
        <f>IF([1]!DataIris[[#This Row],[Largo de sépalo]]&lt;=5.5,"CORTO",IF([1]!DataIris[[#This Row],[Largo de sépalo]]&lt;=6.7,"MEDIANO","LARGO"))</f>
        <v>CORTO</v>
      </c>
      <c r="H49" s="92" t="str">
        <f>IF([1]!DataIris[[#This Row],[Ancho de sépalo]]&lt;=3.2,"ESTRECHO","ANCHO")</f>
        <v>ANCHO</v>
      </c>
      <c r="I49" s="92" t="str">
        <f>IF([1]!DataIris[[#This Row],[Largo de pétalo]]&lt;=3,"CORTO",IF([1]!DataIris[[#This Row],[Largo de pétalo]]&lt;=5,"MEDIANO","LARGO"))</f>
        <v>CORTO</v>
      </c>
      <c r="J49" s="92" t="str">
        <f>IF([1]!DataIris[[#This Row],[Ancho de pétalo]]&lt;=1.4,"ESTRECHO","ANCHO")</f>
        <v>ESTRECHO</v>
      </c>
      <c r="K49" s="92" t="s">
        <v>25</v>
      </c>
    </row>
    <row r="50" spans="2:11">
      <c r="B50" s="92">
        <v>5.4</v>
      </c>
      <c r="C50" s="92">
        <v>3.9</v>
      </c>
      <c r="D50" s="92">
        <v>1.3</v>
      </c>
      <c r="E50" s="92">
        <v>0.4</v>
      </c>
      <c r="F50" s="92" t="s">
        <v>25</v>
      </c>
      <c r="G50" s="92" t="str">
        <f>IF([1]!DataIris[[#This Row],[Largo de sépalo]]&lt;=5.5,"CORTO",IF([1]!DataIris[[#This Row],[Largo de sépalo]]&lt;=6.7,"MEDIANO","LARGO"))</f>
        <v>CORTO</v>
      </c>
      <c r="H50" s="92" t="str">
        <f>IF([1]!DataIris[[#This Row],[Ancho de sépalo]]&lt;=3.2,"ESTRECHO","ANCHO")</f>
        <v>ANCHO</v>
      </c>
      <c r="I50" s="92" t="str">
        <f>IF([1]!DataIris[[#This Row],[Largo de pétalo]]&lt;=3,"CORTO",IF([1]!DataIris[[#This Row],[Largo de pétalo]]&lt;=5,"MEDIANO","LARGO"))</f>
        <v>CORTO</v>
      </c>
      <c r="J50" s="92" t="str">
        <f>IF([1]!DataIris[[#This Row],[Ancho de pétalo]]&lt;=1.4,"ESTRECHO","ANCHO")</f>
        <v>ESTRECHO</v>
      </c>
      <c r="K50" s="92" t="s">
        <v>26</v>
      </c>
    </row>
    <row r="51" spans="2:11">
      <c r="B51" s="92">
        <v>5.4</v>
      </c>
      <c r="C51" s="92">
        <v>3.4</v>
      </c>
      <c r="D51" s="92">
        <v>1.5</v>
      </c>
      <c r="E51" s="92">
        <v>0.4</v>
      </c>
      <c r="F51" s="92" t="s">
        <v>25</v>
      </c>
      <c r="G51" s="92" t="str">
        <f>IF([1]!DataIris[[#This Row],[Largo de sépalo]]&lt;=5.5,"CORTO",IF([1]!DataIris[[#This Row],[Largo de sépalo]]&lt;=6.7,"MEDIANO","LARGO"))</f>
        <v>CORTO</v>
      </c>
      <c r="H51" s="92" t="str">
        <f>IF([1]!DataIris[[#This Row],[Ancho de sépalo]]&lt;=3.2,"ESTRECHO","ANCHO")</f>
        <v>ANCHO</v>
      </c>
      <c r="I51" s="92" t="str">
        <f>IF([1]!DataIris[[#This Row],[Largo de pétalo]]&lt;=3,"CORTO",IF([1]!DataIris[[#This Row],[Largo de pétalo]]&lt;=5,"MEDIANO","LARGO"))</f>
        <v>CORTO</v>
      </c>
      <c r="J51" s="92" t="str">
        <f>IF([1]!DataIris[[#This Row],[Ancho de pétalo]]&lt;=1.4,"ESTRECHO","ANCHO")</f>
        <v>ESTRECHO</v>
      </c>
      <c r="K51" s="92" t="s">
        <v>26</v>
      </c>
    </row>
    <row r="52" spans="2:11">
      <c r="B52" s="92">
        <v>5.4</v>
      </c>
      <c r="C52" s="92">
        <v>3.9</v>
      </c>
      <c r="D52" s="92">
        <v>1.7</v>
      </c>
      <c r="E52" s="92">
        <v>0.4</v>
      </c>
      <c r="F52" s="92" t="s">
        <v>25</v>
      </c>
      <c r="G52" s="92" t="str">
        <f>IF([1]!DataIris[[#This Row],[Largo de sépalo]]&lt;=5.5,"CORTO",IF([1]!DataIris[[#This Row],[Largo de sépalo]]&lt;=6.7,"MEDIANO","LARGO"))</f>
        <v>CORTO</v>
      </c>
      <c r="H52" s="92" t="str">
        <f>IF([1]!DataIris[[#This Row],[Ancho de sépalo]]&lt;=3.2,"ESTRECHO","ANCHO")</f>
        <v>ANCHO</v>
      </c>
      <c r="I52" s="92" t="str">
        <f>IF([1]!DataIris[[#This Row],[Largo de pétalo]]&lt;=3,"CORTO",IF([1]!DataIris[[#This Row],[Largo de pétalo]]&lt;=5,"MEDIANO","LARGO"))</f>
        <v>CORTO</v>
      </c>
      <c r="J52" s="92" t="str">
        <f>IF([1]!DataIris[[#This Row],[Ancho de pétalo]]&lt;=1.4,"ESTRECHO","ANCHO")</f>
        <v>ESTRECHO</v>
      </c>
      <c r="K52" s="92" t="s">
        <v>26</v>
      </c>
    </row>
    <row r="53" spans="2:11">
      <c r="B53" s="92">
        <v>5.4</v>
      </c>
      <c r="C53" s="92">
        <v>3</v>
      </c>
      <c r="D53" s="92">
        <v>4.5</v>
      </c>
      <c r="E53" s="92">
        <v>1.5</v>
      </c>
      <c r="F53" s="92" t="s">
        <v>26</v>
      </c>
      <c r="G53" s="92" t="str">
        <f>IF([1]!DataIris[[#This Row],[Largo de sépalo]]&lt;=5.5,"CORTO",IF([1]!DataIris[[#This Row],[Largo de sépalo]]&lt;=6.7,"MEDIANO","LARGO"))</f>
        <v>CORTO</v>
      </c>
      <c r="H53" s="92" t="str">
        <f>IF([1]!DataIris[[#This Row],[Ancho de sépalo]]&lt;=3.2,"ESTRECHO","ANCHO")</f>
        <v>ESTRECHO</v>
      </c>
      <c r="I53" s="92" t="str">
        <f>IF([1]!DataIris[[#This Row],[Largo de pétalo]]&lt;=3,"CORTO",IF([1]!DataIris[[#This Row],[Largo de pétalo]]&lt;=5,"MEDIANO","LARGO"))</f>
        <v>MEDIANO</v>
      </c>
      <c r="J53" s="92" t="str">
        <f>IF([1]!DataIris[[#This Row],[Ancho de pétalo]]&lt;=1.4,"ESTRECHO","ANCHO")</f>
        <v>ANCHO</v>
      </c>
      <c r="K53" s="92" t="s">
        <v>26</v>
      </c>
    </row>
    <row r="54" spans="2:11">
      <c r="B54" s="92">
        <v>5.5</v>
      </c>
      <c r="C54" s="92">
        <v>3.5</v>
      </c>
      <c r="D54" s="92">
        <v>1.3</v>
      </c>
      <c r="E54" s="92">
        <v>0.2</v>
      </c>
      <c r="F54" s="92" t="s">
        <v>25</v>
      </c>
      <c r="G54" s="92" t="str">
        <f>IF([1]!DataIris[[#This Row],[Largo de sépalo]]&lt;=5.5,"CORTO",IF([1]!DataIris[[#This Row],[Largo de sépalo]]&lt;=6.7,"MEDIANO","LARGO"))</f>
        <v>CORTO</v>
      </c>
      <c r="H54" s="92" t="str">
        <f>IF([1]!DataIris[[#This Row],[Ancho de sépalo]]&lt;=3.2,"ESTRECHO","ANCHO")</f>
        <v>ANCHO</v>
      </c>
      <c r="I54" s="92" t="str">
        <f>IF([1]!DataIris[[#This Row],[Largo de pétalo]]&lt;=3,"CORTO",IF([1]!DataIris[[#This Row],[Largo de pétalo]]&lt;=5,"MEDIANO","LARGO"))</f>
        <v>CORTO</v>
      </c>
      <c r="J54" s="92" t="str">
        <f>IF([1]!DataIris[[#This Row],[Ancho de pétalo]]&lt;=1.4,"ESTRECHO","ANCHO")</f>
        <v>ESTRECHO</v>
      </c>
      <c r="K54" s="92" t="s">
        <v>26</v>
      </c>
    </row>
    <row r="55" spans="2:11">
      <c r="B55" s="92">
        <v>5.5</v>
      </c>
      <c r="C55" s="92">
        <v>4.2</v>
      </c>
      <c r="D55" s="92">
        <v>1.4</v>
      </c>
      <c r="E55" s="92">
        <v>0.2</v>
      </c>
      <c r="F55" s="92" t="s">
        <v>25</v>
      </c>
      <c r="G55" s="92" t="str">
        <f>IF([1]!DataIris[[#This Row],[Largo de sépalo]]&lt;=5.5,"CORTO",IF([1]!DataIris[[#This Row],[Largo de sépalo]]&lt;=6.7,"MEDIANO","LARGO"))</f>
        <v>CORTO</v>
      </c>
      <c r="H55" s="92" t="str">
        <f>IF([1]!DataIris[[#This Row],[Ancho de sépalo]]&lt;=3.2,"ESTRECHO","ANCHO")</f>
        <v>ANCHO</v>
      </c>
      <c r="I55" s="92" t="str">
        <f>IF([1]!DataIris[[#This Row],[Largo de pétalo]]&lt;=3,"CORTO",IF([1]!DataIris[[#This Row],[Largo de pétalo]]&lt;=5,"MEDIANO","LARGO"))</f>
        <v>CORTO</v>
      </c>
      <c r="J55" s="92" t="str">
        <f>IF([1]!DataIris[[#This Row],[Ancho de pétalo]]&lt;=1.4,"ESTRECHO","ANCHO")</f>
        <v>ESTRECHO</v>
      </c>
      <c r="K55" s="92" t="s">
        <v>26</v>
      </c>
    </row>
    <row r="56" spans="2:11">
      <c r="B56" s="92">
        <v>5.5</v>
      </c>
      <c r="C56" s="92">
        <v>2.4</v>
      </c>
      <c r="D56" s="92">
        <v>3.7</v>
      </c>
      <c r="E56" s="92">
        <v>1</v>
      </c>
      <c r="F56" s="92" t="s">
        <v>26</v>
      </c>
      <c r="G56" s="92" t="str">
        <f>IF([1]!DataIris[[#This Row],[Largo de sépalo]]&lt;=5.5,"CORTO",IF([1]!DataIris[[#This Row],[Largo de sépalo]]&lt;=6.7,"MEDIANO","LARGO"))</f>
        <v>CORTO</v>
      </c>
      <c r="H56" s="92" t="str">
        <f>IF([1]!DataIris[[#This Row],[Ancho de sépalo]]&lt;=3.2,"ESTRECHO","ANCHO")</f>
        <v>ESTRECHO</v>
      </c>
      <c r="I56" s="92" t="str">
        <f>IF([1]!DataIris[[#This Row],[Largo de pétalo]]&lt;=3,"CORTO",IF([1]!DataIris[[#This Row],[Largo de pétalo]]&lt;=5,"MEDIANO","LARGO"))</f>
        <v>MEDIANO</v>
      </c>
      <c r="J56" s="92" t="str">
        <f>IF([1]!DataIris[[#This Row],[Ancho de pétalo]]&lt;=1.4,"ESTRECHO","ANCHO")</f>
        <v>ESTRECHO</v>
      </c>
      <c r="K56" s="92" t="s">
        <v>27</v>
      </c>
    </row>
    <row r="57" spans="2:11">
      <c r="B57" s="92">
        <v>5.5</v>
      </c>
      <c r="C57" s="92">
        <v>2.4</v>
      </c>
      <c r="D57" s="92">
        <v>3.8</v>
      </c>
      <c r="E57" s="92">
        <v>1.1000000000000001</v>
      </c>
      <c r="F57" s="92" t="s">
        <v>26</v>
      </c>
      <c r="G57" s="92" t="str">
        <f>IF([1]!DataIris[[#This Row],[Largo de sépalo]]&lt;=5.5,"CORTO",IF([1]!DataIris[[#This Row],[Largo de sépalo]]&lt;=6.7,"MEDIANO","LARGO"))</f>
        <v>CORTO</v>
      </c>
      <c r="H57" s="92" t="str">
        <f>IF([1]!DataIris[[#This Row],[Ancho de sépalo]]&lt;=3.2,"ESTRECHO","ANCHO")</f>
        <v>ESTRECHO</v>
      </c>
      <c r="I57" s="92" t="str">
        <f>IF([1]!DataIris[[#This Row],[Largo de pétalo]]&lt;=3,"CORTO",IF([1]!DataIris[[#This Row],[Largo de pétalo]]&lt;=5,"MEDIANO","LARGO"))</f>
        <v>MEDIANO</v>
      </c>
      <c r="J57" s="92" t="str">
        <f>IF([1]!DataIris[[#This Row],[Ancho de pétalo]]&lt;=1.4,"ESTRECHO","ANCHO")</f>
        <v>ESTRECHO</v>
      </c>
      <c r="K57" s="92" t="s">
        <v>27</v>
      </c>
    </row>
    <row r="58" spans="2:11">
      <c r="B58" s="92">
        <v>5.5</v>
      </c>
      <c r="C58" s="92">
        <v>2.6</v>
      </c>
      <c r="D58" s="92">
        <v>4.4000000000000004</v>
      </c>
      <c r="E58" s="92">
        <v>1.2</v>
      </c>
      <c r="F58" s="92" t="s">
        <v>26</v>
      </c>
      <c r="G58" s="92" t="str">
        <f>IF([1]!DataIris[[#This Row],[Largo de sépalo]]&lt;=5.5,"CORTO",IF([1]!DataIris[[#This Row],[Largo de sépalo]]&lt;=6.7,"MEDIANO","LARGO"))</f>
        <v>CORTO</v>
      </c>
      <c r="H58" s="92" t="str">
        <f>IF([1]!DataIris[[#This Row],[Ancho de sépalo]]&lt;=3.2,"ESTRECHO","ANCHO")</f>
        <v>ESTRECHO</v>
      </c>
      <c r="I58" s="92" t="str">
        <f>IF([1]!DataIris[[#This Row],[Largo de pétalo]]&lt;=3,"CORTO",IF([1]!DataIris[[#This Row],[Largo de pétalo]]&lt;=5,"MEDIANO","LARGO"))</f>
        <v>MEDIANO</v>
      </c>
      <c r="J58" s="92" t="str">
        <f>IF([1]!DataIris[[#This Row],[Ancho de pétalo]]&lt;=1.4,"ESTRECHO","ANCHO")</f>
        <v>ESTRECHO</v>
      </c>
      <c r="K58" s="92" t="s">
        <v>27</v>
      </c>
    </row>
    <row r="59" spans="2:11">
      <c r="B59" s="92">
        <v>5.5</v>
      </c>
      <c r="C59" s="92">
        <v>2.2999999999999998</v>
      </c>
      <c r="D59" s="92">
        <v>4</v>
      </c>
      <c r="E59" s="92">
        <v>1.3</v>
      </c>
      <c r="F59" s="92" t="s">
        <v>26</v>
      </c>
      <c r="G59" s="92" t="str">
        <f>IF([1]!DataIris[[#This Row],[Largo de sépalo]]&lt;=5.5,"CORTO",IF([1]!DataIris[[#This Row],[Largo de sépalo]]&lt;=6.7,"MEDIANO","LARGO"))</f>
        <v>CORTO</v>
      </c>
      <c r="H59" s="92" t="str">
        <f>IF([1]!DataIris[[#This Row],[Ancho de sépalo]]&lt;=3.2,"ESTRECHO","ANCHO")</f>
        <v>ESTRECHO</v>
      </c>
      <c r="I59" s="92" t="str">
        <f>IF([1]!DataIris[[#This Row],[Largo de pétalo]]&lt;=3,"CORTO",IF([1]!DataIris[[#This Row],[Largo de pétalo]]&lt;=5,"MEDIANO","LARGO"))</f>
        <v>MEDIANO</v>
      </c>
      <c r="J59" s="92" t="str">
        <f>IF([1]!DataIris[[#This Row],[Ancho de pétalo]]&lt;=1.4,"ESTRECHO","ANCHO")</f>
        <v>ESTRECHO</v>
      </c>
      <c r="K59" s="92" t="s">
        <v>26</v>
      </c>
    </row>
    <row r="60" spans="2:11">
      <c r="B60" s="92">
        <v>5.5</v>
      </c>
      <c r="C60" s="92">
        <v>2.5</v>
      </c>
      <c r="D60" s="92">
        <v>4</v>
      </c>
      <c r="E60" s="92">
        <v>1.3</v>
      </c>
      <c r="F60" s="92" t="s">
        <v>26</v>
      </c>
      <c r="G60" s="92" t="str">
        <f>IF([1]!DataIris[[#This Row],[Largo de sépalo]]&lt;=5.5,"CORTO",IF([1]!DataIris[[#This Row],[Largo de sépalo]]&lt;=6.7,"MEDIANO","LARGO"))</f>
        <v>CORTO</v>
      </c>
      <c r="H60" s="92" t="str">
        <f>IF([1]!DataIris[[#This Row],[Ancho de sépalo]]&lt;=3.2,"ESTRECHO","ANCHO")</f>
        <v>ESTRECHO</v>
      </c>
      <c r="I60" s="92" t="str">
        <f>IF([1]!DataIris[[#This Row],[Largo de pétalo]]&lt;=3,"CORTO",IF([1]!DataIris[[#This Row],[Largo de pétalo]]&lt;=5,"MEDIANO","LARGO"))</f>
        <v>MEDIANO</v>
      </c>
      <c r="J60" s="92" t="str">
        <f>IF([1]!DataIris[[#This Row],[Ancho de pétalo]]&lt;=1.4,"ESTRECHO","ANCHO")</f>
        <v>ESTRECHO</v>
      </c>
      <c r="K60" s="92" t="s">
        <v>26</v>
      </c>
    </row>
    <row r="61" spans="2:11">
      <c r="B61" s="92">
        <v>5.6</v>
      </c>
      <c r="C61" s="92">
        <v>2.5</v>
      </c>
      <c r="D61" s="92">
        <v>3.9</v>
      </c>
      <c r="E61" s="92">
        <v>1.1000000000000001</v>
      </c>
      <c r="F61" s="92" t="s">
        <v>26</v>
      </c>
      <c r="G61" s="92" t="str">
        <f>IF([1]!DataIris[[#This Row],[Largo de sépalo]]&lt;=5.5,"CORTO",IF([1]!DataIris[[#This Row],[Largo de sépalo]]&lt;=6.7,"MEDIANO","LARGO"))</f>
        <v>MEDIANO</v>
      </c>
      <c r="H61" s="92" t="str">
        <f>IF([1]!DataIris[[#This Row],[Ancho de sépalo]]&lt;=3.2,"ESTRECHO","ANCHO")</f>
        <v>ESTRECHO</v>
      </c>
      <c r="I61" s="92" t="str">
        <f>IF([1]!DataIris[[#This Row],[Largo de pétalo]]&lt;=3,"CORTO",IF([1]!DataIris[[#This Row],[Largo de pétalo]]&lt;=5,"MEDIANO","LARGO"))</f>
        <v>MEDIANO</v>
      </c>
      <c r="J61" s="92" t="str">
        <f>IF([1]!DataIris[[#This Row],[Ancho de pétalo]]&lt;=1.4,"ESTRECHO","ANCHO")</f>
        <v>ESTRECHO</v>
      </c>
      <c r="K61" s="92" t="s">
        <v>27</v>
      </c>
    </row>
    <row r="62" spans="2:11">
      <c r="B62" s="92">
        <v>5.6</v>
      </c>
      <c r="C62" s="92">
        <v>2.9</v>
      </c>
      <c r="D62" s="92">
        <v>3.6</v>
      </c>
      <c r="E62" s="92">
        <v>1.3</v>
      </c>
      <c r="F62" s="92" t="s">
        <v>26</v>
      </c>
      <c r="G62" s="92" t="str">
        <f>IF([1]!DataIris[[#This Row],[Largo de sépalo]]&lt;=5.5,"CORTO",IF([1]!DataIris[[#This Row],[Largo de sépalo]]&lt;=6.7,"MEDIANO","LARGO"))</f>
        <v>MEDIANO</v>
      </c>
      <c r="H62" s="92" t="str">
        <f>IF([1]!DataIris[[#This Row],[Ancho de sépalo]]&lt;=3.2,"ESTRECHO","ANCHO")</f>
        <v>ESTRECHO</v>
      </c>
      <c r="I62" s="92" t="str">
        <f>IF([1]!DataIris[[#This Row],[Largo de pétalo]]&lt;=3,"CORTO",IF([1]!DataIris[[#This Row],[Largo de pétalo]]&lt;=5,"MEDIANO","LARGO"))</f>
        <v>MEDIANO</v>
      </c>
      <c r="J62" s="92" t="str">
        <f>IF([1]!DataIris[[#This Row],[Ancho de pétalo]]&lt;=1.4,"ESTRECHO","ANCHO")</f>
        <v>ESTRECHO</v>
      </c>
      <c r="K62" s="92" t="s">
        <v>27</v>
      </c>
    </row>
    <row r="63" spans="2:11">
      <c r="B63" s="92">
        <v>5.6</v>
      </c>
      <c r="C63" s="92">
        <v>3</v>
      </c>
      <c r="D63" s="92">
        <v>4.0999999999999996</v>
      </c>
      <c r="E63" s="92">
        <v>1.3</v>
      </c>
      <c r="F63" s="92" t="s">
        <v>26</v>
      </c>
      <c r="G63" s="92" t="str">
        <f>IF([1]!DataIris[[#This Row],[Largo de sépalo]]&lt;=5.5,"CORTO",IF([1]!DataIris[[#This Row],[Largo de sépalo]]&lt;=6.7,"MEDIANO","LARGO"))</f>
        <v>MEDIANO</v>
      </c>
      <c r="H63" s="92" t="str">
        <f>IF([1]!DataIris[[#This Row],[Ancho de sépalo]]&lt;=3.2,"ESTRECHO","ANCHO")</f>
        <v>ESTRECHO</v>
      </c>
      <c r="I63" s="92" t="str">
        <f>IF([1]!DataIris[[#This Row],[Largo de pétalo]]&lt;=3,"CORTO",IF([1]!DataIris[[#This Row],[Largo de pétalo]]&lt;=5,"MEDIANO","LARGO"))</f>
        <v>MEDIANO</v>
      </c>
      <c r="J63" s="92" t="str">
        <f>IF([1]!DataIris[[#This Row],[Ancho de pétalo]]&lt;=1.4,"ESTRECHO","ANCHO")</f>
        <v>ESTRECHO</v>
      </c>
      <c r="K63" s="92" t="s">
        <v>26</v>
      </c>
    </row>
    <row r="64" spans="2:11">
      <c r="B64" s="92">
        <v>5.6</v>
      </c>
      <c r="C64" s="92">
        <v>2.7</v>
      </c>
      <c r="D64" s="92">
        <v>4.2</v>
      </c>
      <c r="E64" s="92">
        <v>1.3</v>
      </c>
      <c r="F64" s="92" t="s">
        <v>26</v>
      </c>
      <c r="G64" s="92" t="str">
        <f>IF([1]!DataIris[[#This Row],[Largo de sépalo]]&lt;=5.5,"CORTO",IF([1]!DataIris[[#This Row],[Largo de sépalo]]&lt;=6.7,"MEDIANO","LARGO"))</f>
        <v>MEDIANO</v>
      </c>
      <c r="H64" s="92" t="str">
        <f>IF([1]!DataIris[[#This Row],[Ancho de sépalo]]&lt;=3.2,"ESTRECHO","ANCHO")</f>
        <v>ESTRECHO</v>
      </c>
      <c r="I64" s="92" t="str">
        <f>IF([1]!DataIris[[#This Row],[Largo de pétalo]]&lt;=3,"CORTO",IF([1]!DataIris[[#This Row],[Largo de pétalo]]&lt;=5,"MEDIANO","LARGO"))</f>
        <v>MEDIANO</v>
      </c>
      <c r="J64" s="92" t="str">
        <f>IF([1]!DataIris[[#This Row],[Ancho de pétalo]]&lt;=1.4,"ESTRECHO","ANCHO")</f>
        <v>ESTRECHO</v>
      </c>
      <c r="K64" s="92" t="s">
        <v>26</v>
      </c>
    </row>
    <row r="65" spans="2:11">
      <c r="B65" s="92">
        <v>5.6</v>
      </c>
      <c r="C65" s="92">
        <v>3</v>
      </c>
      <c r="D65" s="92">
        <v>4.5</v>
      </c>
      <c r="E65" s="92">
        <v>1.5</v>
      </c>
      <c r="F65" s="92" t="s">
        <v>26</v>
      </c>
      <c r="G65" s="92" t="str">
        <f>IF([1]!DataIris[[#This Row],[Largo de sépalo]]&lt;=5.5,"CORTO",IF([1]!DataIris[[#This Row],[Largo de sépalo]]&lt;=6.7,"MEDIANO","LARGO"))</f>
        <v>MEDIANO</v>
      </c>
      <c r="H65" s="92" t="str">
        <f>IF([1]!DataIris[[#This Row],[Ancho de sépalo]]&lt;=3.2,"ESTRECHO","ANCHO")</f>
        <v>ESTRECHO</v>
      </c>
      <c r="I65" s="92" t="str">
        <f>IF([1]!DataIris[[#This Row],[Largo de pétalo]]&lt;=3,"CORTO",IF([1]!DataIris[[#This Row],[Largo de pétalo]]&lt;=5,"MEDIANO","LARGO"))</f>
        <v>MEDIANO</v>
      </c>
      <c r="J65" s="92" t="str">
        <f>IF([1]!DataIris[[#This Row],[Ancho de pétalo]]&lt;=1.4,"ESTRECHO","ANCHO")</f>
        <v>ANCHO</v>
      </c>
      <c r="K65" s="92" t="s">
        <v>26</v>
      </c>
    </row>
    <row r="66" spans="2:11">
      <c r="B66" s="92">
        <v>5.6</v>
      </c>
      <c r="C66" s="92">
        <v>2.8</v>
      </c>
      <c r="D66" s="92">
        <v>4.9000000000000004</v>
      </c>
      <c r="E66" s="92">
        <v>2</v>
      </c>
      <c r="F66" s="92" t="s">
        <v>27</v>
      </c>
      <c r="G66" s="92" t="str">
        <f>IF([1]!DataIris[[#This Row],[Largo de sépalo]]&lt;=5.5,"CORTO",IF([1]!DataIris[[#This Row],[Largo de sépalo]]&lt;=6.7,"MEDIANO","LARGO"))</f>
        <v>MEDIANO</v>
      </c>
      <c r="H66" s="92" t="str">
        <f>IF([1]!DataIris[[#This Row],[Ancho de sépalo]]&lt;=3.2,"ESTRECHO","ANCHO")</f>
        <v>ESTRECHO</v>
      </c>
      <c r="I66" s="92" t="str">
        <f>IF([1]!DataIris[[#This Row],[Largo de pétalo]]&lt;=3,"CORTO",IF([1]!DataIris[[#This Row],[Largo de pétalo]]&lt;=5,"MEDIANO","LARGO"))</f>
        <v>MEDIANO</v>
      </c>
      <c r="J66" s="92" t="str">
        <f>IF([1]!DataIris[[#This Row],[Ancho de pétalo]]&lt;=1.4,"ESTRECHO","ANCHO")</f>
        <v>ANCHO</v>
      </c>
      <c r="K66" s="92" t="s">
        <v>26</v>
      </c>
    </row>
    <row r="67" spans="2:11">
      <c r="B67" s="92">
        <v>5.7</v>
      </c>
      <c r="C67" s="92">
        <v>3.8</v>
      </c>
      <c r="D67" s="92">
        <v>1.7</v>
      </c>
      <c r="E67" s="92">
        <v>0.3</v>
      </c>
      <c r="F67" s="92" t="s">
        <v>25</v>
      </c>
      <c r="G67" s="92" t="str">
        <f>IF([1]!DataIris[[#This Row],[Largo de sépalo]]&lt;=5.5,"CORTO",IF([1]!DataIris[[#This Row],[Largo de sépalo]]&lt;=6.7,"MEDIANO","LARGO"))</f>
        <v>MEDIANO</v>
      </c>
      <c r="H67" s="92" t="str">
        <f>IF([1]!DataIris[[#This Row],[Ancho de sépalo]]&lt;=3.2,"ESTRECHO","ANCHO")</f>
        <v>ANCHO</v>
      </c>
      <c r="I67" s="92" t="str">
        <f>IF([1]!DataIris[[#This Row],[Largo de pétalo]]&lt;=3,"CORTO",IF([1]!DataIris[[#This Row],[Largo de pétalo]]&lt;=5,"MEDIANO","LARGO"))</f>
        <v>CORTO</v>
      </c>
      <c r="J67" s="92" t="str">
        <f>IF([1]!DataIris[[#This Row],[Ancho de pétalo]]&lt;=1.4,"ESTRECHO","ANCHO")</f>
        <v>ESTRECHO</v>
      </c>
      <c r="K67" s="92" t="s">
        <v>27</v>
      </c>
    </row>
    <row r="68" spans="2:11">
      <c r="B68" s="92">
        <v>5.7</v>
      </c>
      <c r="C68" s="92">
        <v>4.4000000000000004</v>
      </c>
      <c r="D68" s="92">
        <v>1.5</v>
      </c>
      <c r="E68" s="92">
        <v>0.4</v>
      </c>
      <c r="F68" s="92" t="s">
        <v>25</v>
      </c>
      <c r="G68" s="92" t="str">
        <f>IF([1]!DataIris[[#This Row],[Largo de sépalo]]&lt;=5.5,"CORTO",IF([1]!DataIris[[#This Row],[Largo de sépalo]]&lt;=6.7,"MEDIANO","LARGO"))</f>
        <v>MEDIANO</v>
      </c>
      <c r="H68" s="92" t="str">
        <f>IF([1]!DataIris[[#This Row],[Ancho de sépalo]]&lt;=3.2,"ESTRECHO","ANCHO")</f>
        <v>ANCHO</v>
      </c>
      <c r="I68" s="92" t="str">
        <f>IF([1]!DataIris[[#This Row],[Largo de pétalo]]&lt;=3,"CORTO",IF([1]!DataIris[[#This Row],[Largo de pétalo]]&lt;=5,"MEDIANO","LARGO"))</f>
        <v>CORTO</v>
      </c>
      <c r="J68" s="92" t="str">
        <f>IF([1]!DataIris[[#This Row],[Ancho de pétalo]]&lt;=1.4,"ESTRECHO","ANCHO")</f>
        <v>ESTRECHO</v>
      </c>
      <c r="K68" s="92" t="s">
        <v>27</v>
      </c>
    </row>
    <row r="69" spans="2:11">
      <c r="B69" s="92">
        <v>5.7</v>
      </c>
      <c r="C69" s="92">
        <v>2.6</v>
      </c>
      <c r="D69" s="92">
        <v>3.5</v>
      </c>
      <c r="E69" s="92">
        <v>1</v>
      </c>
      <c r="F69" s="92" t="s">
        <v>26</v>
      </c>
      <c r="G69" s="92" t="str">
        <f>IF([1]!DataIris[[#This Row],[Largo de sépalo]]&lt;=5.5,"CORTO",IF([1]!DataIris[[#This Row],[Largo de sépalo]]&lt;=6.7,"MEDIANO","LARGO"))</f>
        <v>MEDIANO</v>
      </c>
      <c r="H69" s="92" t="str">
        <f>IF([1]!DataIris[[#This Row],[Ancho de sépalo]]&lt;=3.2,"ESTRECHO","ANCHO")</f>
        <v>ESTRECHO</v>
      </c>
      <c r="I69" s="92" t="str">
        <f>IF([1]!DataIris[[#This Row],[Largo de pétalo]]&lt;=3,"CORTO",IF([1]!DataIris[[#This Row],[Largo de pétalo]]&lt;=5,"MEDIANO","LARGO"))</f>
        <v>MEDIANO</v>
      </c>
      <c r="J69" s="92" t="str">
        <f>IF([1]!DataIris[[#This Row],[Ancho de pétalo]]&lt;=1.4,"ESTRECHO","ANCHO")</f>
        <v>ESTRECHO</v>
      </c>
      <c r="K69" s="92" t="s">
        <v>26</v>
      </c>
    </row>
    <row r="70" spans="2:11">
      <c r="B70" s="92">
        <v>5.7</v>
      </c>
      <c r="C70" s="92">
        <v>3</v>
      </c>
      <c r="D70" s="92">
        <v>4.2</v>
      </c>
      <c r="E70" s="92">
        <v>1.2</v>
      </c>
      <c r="F70" s="92" t="s">
        <v>26</v>
      </c>
      <c r="G70" s="92" t="str">
        <f>IF([1]!DataIris[[#This Row],[Largo de sépalo]]&lt;=5.5,"CORTO",IF([1]!DataIris[[#This Row],[Largo de sépalo]]&lt;=6.7,"MEDIANO","LARGO"))</f>
        <v>MEDIANO</v>
      </c>
      <c r="H70" s="92" t="str">
        <f>IF([1]!DataIris[[#This Row],[Ancho de sépalo]]&lt;=3.2,"ESTRECHO","ANCHO")</f>
        <v>ESTRECHO</v>
      </c>
      <c r="I70" s="92" t="str">
        <f>IF([1]!DataIris[[#This Row],[Largo de pétalo]]&lt;=3,"CORTO",IF([1]!DataIris[[#This Row],[Largo de pétalo]]&lt;=5,"MEDIANO","LARGO"))</f>
        <v>MEDIANO</v>
      </c>
      <c r="J70" s="92" t="str">
        <f>IF([1]!DataIris[[#This Row],[Ancho de pétalo]]&lt;=1.4,"ESTRECHO","ANCHO")</f>
        <v>ESTRECHO</v>
      </c>
      <c r="K70" s="92" t="s">
        <v>26</v>
      </c>
    </row>
    <row r="71" spans="2:11">
      <c r="B71" s="92">
        <v>5.7</v>
      </c>
      <c r="C71" s="92">
        <v>2.8</v>
      </c>
      <c r="D71" s="92">
        <v>4.0999999999999996</v>
      </c>
      <c r="E71" s="92">
        <v>1.3</v>
      </c>
      <c r="F71" s="92" t="s">
        <v>26</v>
      </c>
      <c r="G71" s="92" t="str">
        <f>IF([1]!DataIris[[#This Row],[Largo de sépalo]]&lt;=5.5,"CORTO",IF([1]!DataIris[[#This Row],[Largo de sépalo]]&lt;=6.7,"MEDIANO","LARGO"))</f>
        <v>MEDIANO</v>
      </c>
      <c r="H71" s="92" t="str">
        <f>IF([1]!DataIris[[#This Row],[Ancho de sépalo]]&lt;=3.2,"ESTRECHO","ANCHO")</f>
        <v>ESTRECHO</v>
      </c>
      <c r="I71" s="92" t="str">
        <f>IF([1]!DataIris[[#This Row],[Largo de pétalo]]&lt;=3,"CORTO",IF([1]!DataIris[[#This Row],[Largo de pétalo]]&lt;=5,"MEDIANO","LARGO"))</f>
        <v>MEDIANO</v>
      </c>
      <c r="J71" s="92" t="str">
        <f>IF([1]!DataIris[[#This Row],[Ancho de pétalo]]&lt;=1.4,"ESTRECHO","ANCHO")</f>
        <v>ESTRECHO</v>
      </c>
      <c r="K71" s="92" t="s">
        <v>26</v>
      </c>
    </row>
    <row r="72" spans="2:11">
      <c r="B72" s="92">
        <v>5.7</v>
      </c>
      <c r="C72" s="92">
        <v>2.9</v>
      </c>
      <c r="D72" s="92">
        <v>4.2</v>
      </c>
      <c r="E72" s="92">
        <v>1.3</v>
      </c>
      <c r="F72" s="92" t="s">
        <v>26</v>
      </c>
      <c r="G72" s="92" t="str">
        <f>IF([1]!DataIris[[#This Row],[Largo de sépalo]]&lt;=5.5,"CORTO",IF([1]!DataIris[[#This Row],[Largo de sépalo]]&lt;=6.7,"MEDIANO","LARGO"))</f>
        <v>MEDIANO</v>
      </c>
      <c r="H72" s="92" t="str">
        <f>IF([1]!DataIris[[#This Row],[Ancho de sépalo]]&lt;=3.2,"ESTRECHO","ANCHO")</f>
        <v>ESTRECHO</v>
      </c>
      <c r="I72" s="92" t="str">
        <f>IF([1]!DataIris[[#This Row],[Largo de pétalo]]&lt;=3,"CORTO",IF([1]!DataIris[[#This Row],[Largo de pétalo]]&lt;=5,"MEDIANO","LARGO"))</f>
        <v>MEDIANO</v>
      </c>
      <c r="J72" s="92" t="str">
        <f>IF([1]!DataIris[[#This Row],[Ancho de pétalo]]&lt;=1.4,"ESTRECHO","ANCHO")</f>
        <v>ESTRECHO</v>
      </c>
      <c r="K72" s="92" t="s">
        <v>26</v>
      </c>
    </row>
    <row r="73" spans="2:11">
      <c r="B73" s="92">
        <v>5.7</v>
      </c>
      <c r="C73" s="92">
        <v>2.8</v>
      </c>
      <c r="D73" s="92">
        <v>4.5</v>
      </c>
      <c r="E73" s="92">
        <v>1.3</v>
      </c>
      <c r="F73" s="92" t="s">
        <v>26</v>
      </c>
      <c r="G73" s="92" t="str">
        <f>IF([1]!DataIris[[#This Row],[Largo de sépalo]]&lt;=5.5,"CORTO",IF([1]!DataIris[[#This Row],[Largo de sépalo]]&lt;=6.7,"MEDIANO","LARGO"))</f>
        <v>MEDIANO</v>
      </c>
      <c r="H73" s="92" t="str">
        <f>IF([1]!DataIris[[#This Row],[Ancho de sépalo]]&lt;=3.2,"ESTRECHO","ANCHO")</f>
        <v>ESTRECHO</v>
      </c>
      <c r="I73" s="92" t="str">
        <f>IF([1]!DataIris[[#This Row],[Largo de pétalo]]&lt;=3,"CORTO",IF([1]!DataIris[[#This Row],[Largo de pétalo]]&lt;=5,"MEDIANO","LARGO"))</f>
        <v>MEDIANO</v>
      </c>
      <c r="J73" s="92" t="str">
        <f>IF([1]!DataIris[[#This Row],[Ancho de pétalo]]&lt;=1.4,"ESTRECHO","ANCHO")</f>
        <v>ESTRECHO</v>
      </c>
      <c r="K73" s="92" t="s">
        <v>27</v>
      </c>
    </row>
    <row r="74" spans="2:11">
      <c r="B74" s="92">
        <v>5.7</v>
      </c>
      <c r="C74" s="92">
        <v>2.5</v>
      </c>
      <c r="D74" s="92">
        <v>5</v>
      </c>
      <c r="E74" s="92">
        <v>2</v>
      </c>
      <c r="F74" s="92" t="s">
        <v>27</v>
      </c>
      <c r="G74" s="92" t="str">
        <f>IF([1]!DataIris[[#This Row],[Largo de sépalo]]&lt;=5.5,"CORTO",IF([1]!DataIris[[#This Row],[Largo de sépalo]]&lt;=6.7,"MEDIANO","LARGO"))</f>
        <v>MEDIANO</v>
      </c>
      <c r="H74" s="92" t="str">
        <f>IF([1]!DataIris[[#This Row],[Ancho de sépalo]]&lt;=3.2,"ESTRECHO","ANCHO")</f>
        <v>ESTRECHO</v>
      </c>
      <c r="I74" s="92" t="str">
        <f>IF([1]!DataIris[[#This Row],[Largo de pétalo]]&lt;=3,"CORTO",IF([1]!DataIris[[#This Row],[Largo de pétalo]]&lt;=5,"MEDIANO","LARGO"))</f>
        <v>MEDIANO</v>
      </c>
      <c r="J74" s="92" t="str">
        <f>IF([1]!DataIris[[#This Row],[Ancho de pétalo]]&lt;=1.4,"ESTRECHO","ANCHO")</f>
        <v>ANCHO</v>
      </c>
      <c r="K74" s="92" t="s">
        <v>27</v>
      </c>
    </row>
    <row r="75" spans="2:11">
      <c r="B75" s="92">
        <v>5.8</v>
      </c>
      <c r="C75" s="92">
        <v>4</v>
      </c>
      <c r="D75" s="92">
        <v>1.2</v>
      </c>
      <c r="E75" s="92">
        <v>0.2</v>
      </c>
      <c r="F75" s="92" t="s">
        <v>25</v>
      </c>
      <c r="G75" s="92" t="str">
        <f>IF([1]!DataIris[[#This Row],[Largo de sépalo]]&lt;=5.5,"CORTO",IF([1]!DataIris[[#This Row],[Largo de sépalo]]&lt;=6.7,"MEDIANO","LARGO"))</f>
        <v>MEDIANO</v>
      </c>
      <c r="H75" s="92" t="str">
        <f>IF([1]!DataIris[[#This Row],[Ancho de sépalo]]&lt;=3.2,"ESTRECHO","ANCHO")</f>
        <v>ANCHO</v>
      </c>
      <c r="I75" s="92" t="str">
        <f>IF([1]!DataIris[[#This Row],[Largo de pétalo]]&lt;=3,"CORTO",IF([1]!DataIris[[#This Row],[Largo de pétalo]]&lt;=5,"MEDIANO","LARGO"))</f>
        <v>CORTO</v>
      </c>
      <c r="J75" s="92" t="str">
        <f>IF([1]!DataIris[[#This Row],[Ancho de pétalo]]&lt;=1.4,"ESTRECHO","ANCHO")</f>
        <v>ESTRECHO</v>
      </c>
      <c r="K75" s="92" t="s">
        <v>26</v>
      </c>
    </row>
    <row r="76" spans="2:11">
      <c r="B76" s="92">
        <v>5.8</v>
      </c>
      <c r="C76" s="92">
        <v>2.7</v>
      </c>
      <c r="D76" s="92">
        <v>4.0999999999999996</v>
      </c>
      <c r="E76" s="92">
        <v>1</v>
      </c>
      <c r="F76" s="92" t="s">
        <v>26</v>
      </c>
      <c r="G76" s="92" t="str">
        <f>IF([1]!DataIris[[#This Row],[Largo de sépalo]]&lt;=5.5,"CORTO",IF([1]!DataIris[[#This Row],[Largo de sépalo]]&lt;=6.7,"MEDIANO","LARGO"))</f>
        <v>MEDIANO</v>
      </c>
      <c r="H76" s="92" t="str">
        <f>IF([1]!DataIris[[#This Row],[Ancho de sépalo]]&lt;=3.2,"ESTRECHO","ANCHO")</f>
        <v>ESTRECHO</v>
      </c>
      <c r="I76" s="92" t="str">
        <f>IF([1]!DataIris[[#This Row],[Largo de pétalo]]&lt;=3,"CORTO",IF([1]!DataIris[[#This Row],[Largo de pétalo]]&lt;=5,"MEDIANO","LARGO"))</f>
        <v>MEDIANO</v>
      </c>
      <c r="J76" s="92" t="str">
        <f>IF([1]!DataIris[[#This Row],[Ancho de pétalo]]&lt;=1.4,"ESTRECHO","ANCHO")</f>
        <v>ESTRECHO</v>
      </c>
      <c r="K76" s="92" t="s">
        <v>27</v>
      </c>
    </row>
    <row r="77" spans="2:11">
      <c r="B77" s="92">
        <v>5.8</v>
      </c>
      <c r="C77" s="92">
        <v>2.7</v>
      </c>
      <c r="D77" s="92">
        <v>3.9</v>
      </c>
      <c r="E77" s="92">
        <v>1.2</v>
      </c>
      <c r="F77" s="92" t="s">
        <v>26</v>
      </c>
      <c r="G77" s="92" t="str">
        <f>IF([1]!DataIris[[#This Row],[Largo de sépalo]]&lt;=5.5,"CORTO",IF([1]!DataIris[[#This Row],[Largo de sépalo]]&lt;=6.7,"MEDIANO","LARGO"))</f>
        <v>MEDIANO</v>
      </c>
      <c r="H77" s="92" t="str">
        <f>IF([1]!DataIris[[#This Row],[Ancho de sépalo]]&lt;=3.2,"ESTRECHO","ANCHO")</f>
        <v>ESTRECHO</v>
      </c>
      <c r="I77" s="92" t="str">
        <f>IF([1]!DataIris[[#This Row],[Largo de pétalo]]&lt;=3,"CORTO",IF([1]!DataIris[[#This Row],[Largo de pétalo]]&lt;=5,"MEDIANO","LARGO"))</f>
        <v>MEDIANO</v>
      </c>
      <c r="J77" s="92" t="str">
        <f>IF([1]!DataIris[[#This Row],[Ancho de pétalo]]&lt;=1.4,"ESTRECHO","ANCHO")</f>
        <v>ESTRECHO</v>
      </c>
      <c r="K77" s="92" t="s">
        <v>26</v>
      </c>
    </row>
    <row r="78" spans="2:11">
      <c r="B78" s="92">
        <v>5.8</v>
      </c>
      <c r="C78" s="92">
        <v>2.6</v>
      </c>
      <c r="D78" s="92">
        <v>4</v>
      </c>
      <c r="E78" s="92">
        <v>1.2</v>
      </c>
      <c r="F78" s="92" t="s">
        <v>26</v>
      </c>
      <c r="G78" s="92" t="str">
        <f>IF([1]!DataIris[[#This Row],[Largo de sépalo]]&lt;=5.5,"CORTO",IF([1]!DataIris[[#This Row],[Largo de sépalo]]&lt;=6.7,"MEDIANO","LARGO"))</f>
        <v>MEDIANO</v>
      </c>
      <c r="H78" s="92" t="str">
        <f>IF([1]!DataIris[[#This Row],[Ancho de sépalo]]&lt;=3.2,"ESTRECHO","ANCHO")</f>
        <v>ESTRECHO</v>
      </c>
      <c r="I78" s="92" t="str">
        <f>IF([1]!DataIris[[#This Row],[Largo de pétalo]]&lt;=3,"CORTO",IF([1]!DataIris[[#This Row],[Largo de pétalo]]&lt;=5,"MEDIANO","LARGO"))</f>
        <v>MEDIANO</v>
      </c>
      <c r="J78" s="92" t="str">
        <f>IF([1]!DataIris[[#This Row],[Ancho de pétalo]]&lt;=1.4,"ESTRECHO","ANCHO")</f>
        <v>ESTRECHO</v>
      </c>
      <c r="K78" s="92" t="s">
        <v>26</v>
      </c>
    </row>
    <row r="79" spans="2:11">
      <c r="B79" s="92">
        <v>5.8</v>
      </c>
      <c r="C79" s="92">
        <v>2.7</v>
      </c>
      <c r="D79" s="92">
        <v>5.0999999999999996</v>
      </c>
      <c r="E79" s="92">
        <v>1.9</v>
      </c>
      <c r="F79" s="92" t="s">
        <v>27</v>
      </c>
      <c r="G79" s="92" t="str">
        <f>IF([1]!DataIris[[#This Row],[Largo de sépalo]]&lt;=5.5,"CORTO",IF([1]!DataIris[[#This Row],[Largo de sépalo]]&lt;=6.7,"MEDIANO","LARGO"))</f>
        <v>MEDIANO</v>
      </c>
      <c r="H79" s="92" t="str">
        <f>IF([1]!DataIris[[#This Row],[Ancho de sépalo]]&lt;=3.2,"ESTRECHO","ANCHO")</f>
        <v>ESTRECHO</v>
      </c>
      <c r="I79" s="92" t="str">
        <f>IF([1]!DataIris[[#This Row],[Largo de pétalo]]&lt;=3,"CORTO",IF([1]!DataIris[[#This Row],[Largo de pétalo]]&lt;=5,"MEDIANO","LARGO"))</f>
        <v>LARGO</v>
      </c>
      <c r="J79" s="92" t="str">
        <f>IF([1]!DataIris[[#This Row],[Ancho de pétalo]]&lt;=1.4,"ESTRECHO","ANCHO")</f>
        <v>ANCHO</v>
      </c>
      <c r="K79" s="92" t="s">
        <v>27</v>
      </c>
    </row>
    <row r="80" spans="2:11">
      <c r="B80" s="92">
        <v>5.8</v>
      </c>
      <c r="C80" s="92">
        <v>2.7</v>
      </c>
      <c r="D80" s="92">
        <v>5.0999999999999996</v>
      </c>
      <c r="E80" s="92">
        <v>1.9</v>
      </c>
      <c r="F80" s="92" t="s">
        <v>27</v>
      </c>
      <c r="G80" s="92" t="str">
        <f>IF([1]!DataIris[[#This Row],[Largo de sépalo]]&lt;=5.5,"CORTO",IF([1]!DataIris[[#This Row],[Largo de sépalo]]&lt;=6.7,"MEDIANO","LARGO"))</f>
        <v>MEDIANO</v>
      </c>
      <c r="H80" s="92" t="str">
        <f>IF([1]!DataIris[[#This Row],[Ancho de sépalo]]&lt;=3.2,"ESTRECHO","ANCHO")</f>
        <v>ESTRECHO</v>
      </c>
      <c r="I80" s="92" t="str">
        <f>IF([1]!DataIris[[#This Row],[Largo de pétalo]]&lt;=3,"CORTO",IF([1]!DataIris[[#This Row],[Largo de pétalo]]&lt;=5,"MEDIANO","LARGO"))</f>
        <v>LARGO</v>
      </c>
      <c r="J80" s="92" t="str">
        <f>IF([1]!DataIris[[#This Row],[Ancho de pétalo]]&lt;=1.4,"ESTRECHO","ANCHO")</f>
        <v>ANCHO</v>
      </c>
      <c r="K80" s="92" t="s">
        <v>27</v>
      </c>
    </row>
    <row r="81" spans="2:11">
      <c r="B81" s="92">
        <v>5.8</v>
      </c>
      <c r="C81" s="92">
        <v>2.8</v>
      </c>
      <c r="D81" s="92">
        <v>5.0999999999999996</v>
      </c>
      <c r="E81" s="92">
        <v>2.4</v>
      </c>
      <c r="F81" s="92" t="s">
        <v>27</v>
      </c>
      <c r="G81" s="92" t="str">
        <f>IF([1]!DataIris[[#This Row],[Largo de sépalo]]&lt;=5.5,"CORTO",IF([1]!DataIris[[#This Row],[Largo de sépalo]]&lt;=6.7,"MEDIANO","LARGO"))</f>
        <v>MEDIANO</v>
      </c>
      <c r="H81" s="92" t="str">
        <f>IF([1]!DataIris[[#This Row],[Ancho de sépalo]]&lt;=3.2,"ESTRECHO","ANCHO")</f>
        <v>ESTRECHO</v>
      </c>
      <c r="I81" s="92" t="str">
        <f>IF([1]!DataIris[[#This Row],[Largo de pétalo]]&lt;=3,"CORTO",IF([1]!DataIris[[#This Row],[Largo de pétalo]]&lt;=5,"MEDIANO","LARGO"))</f>
        <v>LARGO</v>
      </c>
      <c r="J81" s="92" t="str">
        <f>IF([1]!DataIris[[#This Row],[Ancho de pétalo]]&lt;=1.4,"ESTRECHO","ANCHO")</f>
        <v>ANCHO</v>
      </c>
      <c r="K81" s="92" t="s">
        <v>27</v>
      </c>
    </row>
    <row r="82" spans="2:11">
      <c r="B82" s="92">
        <v>5.9</v>
      </c>
      <c r="C82" s="92">
        <v>3</v>
      </c>
      <c r="D82" s="92">
        <v>4.2</v>
      </c>
      <c r="E82" s="92">
        <v>1.5</v>
      </c>
      <c r="F82" s="92" t="s">
        <v>26</v>
      </c>
      <c r="G82" s="92" t="str">
        <f>IF([1]!DataIris[[#This Row],[Largo de sépalo]]&lt;=5.5,"CORTO",IF([1]!DataIris[[#This Row],[Largo de sépalo]]&lt;=6.7,"MEDIANO","LARGO"))</f>
        <v>MEDIANO</v>
      </c>
      <c r="H82" s="92" t="str">
        <f>IF([1]!DataIris[[#This Row],[Ancho de sépalo]]&lt;=3.2,"ESTRECHO","ANCHO")</f>
        <v>ESTRECHO</v>
      </c>
      <c r="I82" s="92" t="str">
        <f>IF([1]!DataIris[[#This Row],[Largo de pétalo]]&lt;=3,"CORTO",IF([1]!DataIris[[#This Row],[Largo de pétalo]]&lt;=5,"MEDIANO","LARGO"))</f>
        <v>MEDIANO</v>
      </c>
      <c r="J82" s="92" t="str">
        <f>IF([1]!DataIris[[#This Row],[Ancho de pétalo]]&lt;=1.4,"ESTRECHO","ANCHO")</f>
        <v>ANCHO</v>
      </c>
      <c r="K82" s="92" t="s">
        <v>27</v>
      </c>
    </row>
    <row r="83" spans="2:11">
      <c r="B83" s="92">
        <v>5.9</v>
      </c>
      <c r="C83" s="92">
        <v>3.2</v>
      </c>
      <c r="D83" s="92">
        <v>4.8</v>
      </c>
      <c r="E83" s="92">
        <v>1.8</v>
      </c>
      <c r="F83" s="92" t="s">
        <v>26</v>
      </c>
      <c r="G83" s="92" t="str">
        <f>IF([1]!DataIris[[#This Row],[Largo de sépalo]]&lt;=5.5,"CORTO",IF([1]!DataIris[[#This Row],[Largo de sépalo]]&lt;=6.7,"MEDIANO","LARGO"))</f>
        <v>MEDIANO</v>
      </c>
      <c r="H83" s="92" t="str">
        <f>IF([1]!DataIris[[#This Row],[Ancho de sépalo]]&lt;=3.2,"ESTRECHO","ANCHO")</f>
        <v>ESTRECHO</v>
      </c>
      <c r="I83" s="92" t="str">
        <f>IF([1]!DataIris[[#This Row],[Largo de pétalo]]&lt;=3,"CORTO",IF([1]!DataIris[[#This Row],[Largo de pétalo]]&lt;=5,"MEDIANO","LARGO"))</f>
        <v>MEDIANO</v>
      </c>
      <c r="J83" s="92" t="str">
        <f>IF([1]!DataIris[[#This Row],[Ancho de pétalo]]&lt;=1.4,"ESTRECHO","ANCHO")</f>
        <v>ANCHO</v>
      </c>
      <c r="K83" s="92" t="s">
        <v>26</v>
      </c>
    </row>
    <row r="84" spans="2:11">
      <c r="B84" s="92">
        <v>5.9</v>
      </c>
      <c r="C84" s="92">
        <v>3</v>
      </c>
      <c r="D84" s="92">
        <v>5.0999999999999996</v>
      </c>
      <c r="E84" s="92">
        <v>1.8</v>
      </c>
      <c r="F84" s="92" t="s">
        <v>27</v>
      </c>
      <c r="G84" s="92" t="str">
        <f>IF([1]!DataIris[[#This Row],[Largo de sépalo]]&lt;=5.5,"CORTO",IF([1]!DataIris[[#This Row],[Largo de sépalo]]&lt;=6.7,"MEDIANO","LARGO"))</f>
        <v>MEDIANO</v>
      </c>
      <c r="H84" s="92" t="str">
        <f>IF([1]!DataIris[[#This Row],[Ancho de sépalo]]&lt;=3.2,"ESTRECHO","ANCHO")</f>
        <v>ESTRECHO</v>
      </c>
      <c r="I84" s="92" t="str">
        <f>IF([1]!DataIris[[#This Row],[Largo de pétalo]]&lt;=3,"CORTO",IF([1]!DataIris[[#This Row],[Largo de pétalo]]&lt;=5,"MEDIANO","LARGO"))</f>
        <v>LARGO</v>
      </c>
      <c r="J84" s="92" t="str">
        <f>IF([1]!DataIris[[#This Row],[Ancho de pétalo]]&lt;=1.4,"ESTRECHO","ANCHO")</f>
        <v>ANCHO</v>
      </c>
      <c r="K84" s="92" t="s">
        <v>27</v>
      </c>
    </row>
    <row r="85" spans="2:11">
      <c r="B85" s="92">
        <v>6</v>
      </c>
      <c r="C85" s="92">
        <v>2.2000000000000002</v>
      </c>
      <c r="D85" s="92">
        <v>4</v>
      </c>
      <c r="E85" s="92">
        <v>1</v>
      </c>
      <c r="F85" s="92" t="s">
        <v>26</v>
      </c>
      <c r="G85" s="92" t="str">
        <f>IF([1]!DataIris[[#This Row],[Largo de sépalo]]&lt;=5.5,"CORTO",IF([1]!DataIris[[#This Row],[Largo de sépalo]]&lt;=6.7,"MEDIANO","LARGO"))</f>
        <v>MEDIANO</v>
      </c>
      <c r="H85" s="92" t="str">
        <f>IF([1]!DataIris[[#This Row],[Ancho de sépalo]]&lt;=3.2,"ESTRECHO","ANCHO")</f>
        <v>ESTRECHO</v>
      </c>
      <c r="I85" s="92" t="str">
        <f>IF([1]!DataIris[[#This Row],[Largo de pétalo]]&lt;=3,"CORTO",IF([1]!DataIris[[#This Row],[Largo de pétalo]]&lt;=5,"MEDIANO","LARGO"))</f>
        <v>MEDIANO</v>
      </c>
      <c r="J85" s="92" t="str">
        <f>IF([1]!DataIris[[#This Row],[Ancho de pétalo]]&lt;=1.4,"ESTRECHO","ANCHO")</f>
        <v>ESTRECHO</v>
      </c>
      <c r="K85" s="92" t="s">
        <v>27</v>
      </c>
    </row>
    <row r="86" spans="2:11">
      <c r="B86" s="92">
        <v>6</v>
      </c>
      <c r="C86" s="92">
        <v>2.9</v>
      </c>
      <c r="D86" s="92">
        <v>4.5</v>
      </c>
      <c r="E86" s="92">
        <v>1.5</v>
      </c>
      <c r="F86" s="92" t="s">
        <v>26</v>
      </c>
      <c r="G86" s="92" t="str">
        <f>IF([1]!DataIris[[#This Row],[Largo de sépalo]]&lt;=5.5,"CORTO",IF([1]!DataIris[[#This Row],[Largo de sépalo]]&lt;=6.7,"MEDIANO","LARGO"))</f>
        <v>MEDIANO</v>
      </c>
      <c r="H86" s="92" t="str">
        <f>IF([1]!DataIris[[#This Row],[Ancho de sépalo]]&lt;=3.2,"ESTRECHO","ANCHO")</f>
        <v>ESTRECHO</v>
      </c>
      <c r="I86" s="92" t="str">
        <f>IF([1]!DataIris[[#This Row],[Largo de pétalo]]&lt;=3,"CORTO",IF([1]!DataIris[[#This Row],[Largo de pétalo]]&lt;=5,"MEDIANO","LARGO"))</f>
        <v>MEDIANO</v>
      </c>
      <c r="J86" s="92" t="str">
        <f>IF([1]!DataIris[[#This Row],[Ancho de pétalo]]&lt;=1.4,"ESTRECHO","ANCHO")</f>
        <v>ANCHO</v>
      </c>
      <c r="K86" s="92" t="s">
        <v>27</v>
      </c>
    </row>
    <row r="87" spans="2:11">
      <c r="B87" s="92">
        <v>6</v>
      </c>
      <c r="C87" s="92">
        <v>2.2000000000000002</v>
      </c>
      <c r="D87" s="92">
        <v>5</v>
      </c>
      <c r="E87" s="92">
        <v>1.5</v>
      </c>
      <c r="F87" s="92" t="s">
        <v>27</v>
      </c>
      <c r="G87" s="92" t="str">
        <f>IF([1]!DataIris[[#This Row],[Largo de sépalo]]&lt;=5.5,"CORTO",IF([1]!DataIris[[#This Row],[Largo de sépalo]]&lt;=6.7,"MEDIANO","LARGO"))</f>
        <v>MEDIANO</v>
      </c>
      <c r="H87" s="92" t="str">
        <f>IF([1]!DataIris[[#This Row],[Ancho de sépalo]]&lt;=3.2,"ESTRECHO","ANCHO")</f>
        <v>ESTRECHO</v>
      </c>
      <c r="I87" s="92" t="str">
        <f>IF([1]!DataIris[[#This Row],[Largo de pétalo]]&lt;=3,"CORTO",IF([1]!DataIris[[#This Row],[Largo de pétalo]]&lt;=5,"MEDIANO","LARGO"))</f>
        <v>MEDIANO</v>
      </c>
      <c r="J87" s="92" t="str">
        <f>IF([1]!DataIris[[#This Row],[Ancho de pétalo]]&lt;=1.4,"ESTRECHO","ANCHO")</f>
        <v>ANCHO</v>
      </c>
      <c r="K87" s="92" t="s">
        <v>27</v>
      </c>
    </row>
    <row r="88" spans="2:11">
      <c r="B88" s="92">
        <v>6</v>
      </c>
      <c r="C88" s="92">
        <v>3.4</v>
      </c>
      <c r="D88" s="92">
        <v>4.5</v>
      </c>
      <c r="E88" s="92">
        <v>1.6</v>
      </c>
      <c r="F88" s="92" t="s">
        <v>26</v>
      </c>
      <c r="G88" s="92" t="str">
        <f>IF([1]!DataIris[[#This Row],[Largo de sépalo]]&lt;=5.5,"CORTO",IF([1]!DataIris[[#This Row],[Largo de sépalo]]&lt;=6.7,"MEDIANO","LARGO"))</f>
        <v>MEDIANO</v>
      </c>
      <c r="H88" s="92" t="str">
        <f>IF([1]!DataIris[[#This Row],[Ancho de sépalo]]&lt;=3.2,"ESTRECHO","ANCHO")</f>
        <v>ANCHO</v>
      </c>
      <c r="I88" s="92" t="str">
        <f>IF([1]!DataIris[[#This Row],[Largo de pétalo]]&lt;=3,"CORTO",IF([1]!DataIris[[#This Row],[Largo de pétalo]]&lt;=5,"MEDIANO","LARGO"))</f>
        <v>MEDIANO</v>
      </c>
      <c r="J88" s="92" t="str">
        <f>IF([1]!DataIris[[#This Row],[Ancho de pétalo]]&lt;=1.4,"ESTRECHO","ANCHO")</f>
        <v>ANCHO</v>
      </c>
      <c r="K88" s="92" t="s">
        <v>27</v>
      </c>
    </row>
    <row r="89" spans="2:11">
      <c r="B89" s="92">
        <v>6</v>
      </c>
      <c r="C89" s="92">
        <v>2.7</v>
      </c>
      <c r="D89" s="92">
        <v>5.0999999999999996</v>
      </c>
      <c r="E89" s="92">
        <v>1.6</v>
      </c>
      <c r="F89" s="92" t="s">
        <v>26</v>
      </c>
      <c r="G89" s="92" t="str">
        <f>IF([1]!DataIris[[#This Row],[Largo de sépalo]]&lt;=5.5,"CORTO",IF([1]!DataIris[[#This Row],[Largo de sépalo]]&lt;=6.7,"MEDIANO","LARGO"))</f>
        <v>MEDIANO</v>
      </c>
      <c r="H89" s="92" t="str">
        <f>IF([1]!DataIris[[#This Row],[Ancho de sépalo]]&lt;=3.2,"ESTRECHO","ANCHO")</f>
        <v>ESTRECHO</v>
      </c>
      <c r="I89" s="92" t="str">
        <f>IF([1]!DataIris[[#This Row],[Largo de pétalo]]&lt;=3,"CORTO",IF([1]!DataIris[[#This Row],[Largo de pétalo]]&lt;=5,"MEDIANO","LARGO"))</f>
        <v>LARGO</v>
      </c>
      <c r="J89" s="92" t="str">
        <f>IF([1]!DataIris[[#This Row],[Ancho de pétalo]]&lt;=1.4,"ESTRECHO","ANCHO")</f>
        <v>ANCHO</v>
      </c>
      <c r="K89" s="92" t="s">
        <v>27</v>
      </c>
    </row>
    <row r="90" spans="2:11">
      <c r="B90" s="92">
        <v>6</v>
      </c>
      <c r="C90" s="92">
        <v>3</v>
      </c>
      <c r="D90" s="92">
        <v>4.8</v>
      </c>
      <c r="E90" s="92">
        <v>1.8</v>
      </c>
      <c r="F90" s="92" t="s">
        <v>27</v>
      </c>
      <c r="G90" s="92" t="str">
        <f>IF([1]!DataIris[[#This Row],[Largo de sépalo]]&lt;=5.5,"CORTO",IF([1]!DataIris[[#This Row],[Largo de sépalo]]&lt;=6.7,"MEDIANO","LARGO"))</f>
        <v>MEDIANO</v>
      </c>
      <c r="H90" s="92" t="str">
        <f>IF([1]!DataIris[[#This Row],[Ancho de sépalo]]&lt;=3.2,"ESTRECHO","ANCHO")</f>
        <v>ESTRECHO</v>
      </c>
      <c r="I90" s="92" t="str">
        <f>IF([1]!DataIris[[#This Row],[Largo de pétalo]]&lt;=3,"CORTO",IF([1]!DataIris[[#This Row],[Largo de pétalo]]&lt;=5,"MEDIANO","LARGO"))</f>
        <v>MEDIANO</v>
      </c>
      <c r="J90" s="92" t="str">
        <f>IF([1]!DataIris[[#This Row],[Ancho de pétalo]]&lt;=1.4,"ESTRECHO","ANCHO")</f>
        <v>ANCHO</v>
      </c>
      <c r="K90" s="92" t="s">
        <v>27</v>
      </c>
    </row>
    <row r="91" spans="2:11">
      <c r="B91" s="92">
        <v>6.1</v>
      </c>
      <c r="C91" s="92">
        <v>2.8</v>
      </c>
      <c r="D91" s="92">
        <v>4.7</v>
      </c>
      <c r="E91" s="92">
        <v>1.2</v>
      </c>
      <c r="F91" s="92" t="s">
        <v>26</v>
      </c>
      <c r="G91" s="92" t="str">
        <f>IF([1]!DataIris[[#This Row],[Largo de sépalo]]&lt;=5.5,"CORTO",IF([1]!DataIris[[#This Row],[Largo de sépalo]]&lt;=6.7,"MEDIANO","LARGO"))</f>
        <v>MEDIANO</v>
      </c>
      <c r="H91" s="92" t="str">
        <f>IF([1]!DataIris[[#This Row],[Ancho de sépalo]]&lt;=3.2,"ESTRECHO","ANCHO")</f>
        <v>ESTRECHO</v>
      </c>
      <c r="I91" s="92" t="str">
        <f>IF([1]!DataIris[[#This Row],[Largo de pétalo]]&lt;=3,"CORTO",IF([1]!DataIris[[#This Row],[Largo de pétalo]]&lt;=5,"MEDIANO","LARGO"))</f>
        <v>MEDIANO</v>
      </c>
      <c r="J91" s="92" t="str">
        <f>IF([1]!DataIris[[#This Row],[Ancho de pétalo]]&lt;=1.4,"ESTRECHO","ANCHO")</f>
        <v>ESTRECHO</v>
      </c>
      <c r="K91" s="92" t="s">
        <v>27</v>
      </c>
    </row>
    <row r="92" spans="2:11">
      <c r="B92" s="92">
        <v>6.1</v>
      </c>
      <c r="C92" s="92">
        <v>2.8</v>
      </c>
      <c r="D92" s="92">
        <v>4</v>
      </c>
      <c r="E92" s="92">
        <v>1.3</v>
      </c>
      <c r="F92" s="92" t="s">
        <v>26</v>
      </c>
      <c r="G92" s="92" t="str">
        <f>IF([1]!DataIris[[#This Row],[Largo de sépalo]]&lt;=5.5,"CORTO",IF([1]!DataIris[[#This Row],[Largo de sépalo]]&lt;=6.7,"MEDIANO","LARGO"))</f>
        <v>MEDIANO</v>
      </c>
      <c r="H92" s="92" t="str">
        <f>IF([1]!DataIris[[#This Row],[Ancho de sépalo]]&lt;=3.2,"ESTRECHO","ANCHO")</f>
        <v>ESTRECHO</v>
      </c>
      <c r="I92" s="92" t="str">
        <f>IF([1]!DataIris[[#This Row],[Largo de pétalo]]&lt;=3,"CORTO",IF([1]!DataIris[[#This Row],[Largo de pétalo]]&lt;=5,"MEDIANO","LARGO"))</f>
        <v>MEDIANO</v>
      </c>
      <c r="J92" s="92" t="str">
        <f>IF([1]!DataIris[[#This Row],[Ancho de pétalo]]&lt;=1.4,"ESTRECHO","ANCHO")</f>
        <v>ESTRECHO</v>
      </c>
      <c r="K92" s="92" t="s">
        <v>27</v>
      </c>
    </row>
    <row r="93" spans="2:11">
      <c r="B93" s="92">
        <v>6.1</v>
      </c>
      <c r="C93" s="92">
        <v>3</v>
      </c>
      <c r="D93" s="92">
        <v>4.5999999999999996</v>
      </c>
      <c r="E93" s="92">
        <v>1.4</v>
      </c>
      <c r="F93" s="92" t="s">
        <v>26</v>
      </c>
      <c r="G93" s="92" t="str">
        <f>IF([1]!DataIris[[#This Row],[Largo de sépalo]]&lt;=5.5,"CORTO",IF([1]!DataIris[[#This Row],[Largo de sépalo]]&lt;=6.7,"MEDIANO","LARGO"))</f>
        <v>MEDIANO</v>
      </c>
      <c r="H93" s="92" t="str">
        <f>IF([1]!DataIris[[#This Row],[Ancho de sépalo]]&lt;=3.2,"ESTRECHO","ANCHO")</f>
        <v>ESTRECHO</v>
      </c>
      <c r="I93" s="92" t="str">
        <f>IF([1]!DataIris[[#This Row],[Largo de pétalo]]&lt;=3,"CORTO",IF([1]!DataIris[[#This Row],[Largo de pétalo]]&lt;=5,"MEDIANO","LARGO"))</f>
        <v>MEDIANO</v>
      </c>
      <c r="J93" s="92" t="str">
        <f>IF([1]!DataIris[[#This Row],[Ancho de pétalo]]&lt;=1.4,"ESTRECHO","ANCHO")</f>
        <v>ESTRECHO</v>
      </c>
      <c r="K93" s="92" t="s">
        <v>25</v>
      </c>
    </row>
    <row r="94" spans="2:11">
      <c r="B94" s="92">
        <v>6.1</v>
      </c>
      <c r="C94" s="92">
        <v>2.9</v>
      </c>
      <c r="D94" s="92">
        <v>4.7</v>
      </c>
      <c r="E94" s="92">
        <v>1.4</v>
      </c>
      <c r="F94" s="92" t="s">
        <v>26</v>
      </c>
      <c r="G94" s="92" t="str">
        <f>IF([1]!DataIris[[#This Row],[Largo de sépalo]]&lt;=5.5,"CORTO",IF([1]!DataIris[[#This Row],[Largo de sépalo]]&lt;=6.7,"MEDIANO","LARGO"))</f>
        <v>MEDIANO</v>
      </c>
      <c r="H94" s="92" t="str">
        <f>IF([1]!DataIris[[#This Row],[Ancho de sépalo]]&lt;=3.2,"ESTRECHO","ANCHO")</f>
        <v>ESTRECHO</v>
      </c>
      <c r="I94" s="92" t="str">
        <f>IF([1]!DataIris[[#This Row],[Largo de pétalo]]&lt;=3,"CORTO",IF([1]!DataIris[[#This Row],[Largo de pétalo]]&lt;=5,"MEDIANO","LARGO"))</f>
        <v>MEDIANO</v>
      </c>
      <c r="J94" s="92" t="str">
        <f>IF([1]!DataIris[[#This Row],[Ancho de pétalo]]&lt;=1.4,"ESTRECHO","ANCHO")</f>
        <v>ESTRECHO</v>
      </c>
      <c r="K94" s="92" t="s">
        <v>25</v>
      </c>
    </row>
    <row r="95" spans="2:11">
      <c r="B95" s="92">
        <v>6.1</v>
      </c>
      <c r="C95" s="92">
        <v>2.6</v>
      </c>
      <c r="D95" s="92">
        <v>5.6</v>
      </c>
      <c r="E95" s="92">
        <v>1.4</v>
      </c>
      <c r="F95" s="92" t="s">
        <v>27</v>
      </c>
      <c r="G95" s="92" t="str">
        <f>IF([1]!DataIris[[#This Row],[Largo de sépalo]]&lt;=5.5,"CORTO",IF([1]!DataIris[[#This Row],[Largo de sépalo]]&lt;=6.7,"MEDIANO","LARGO"))</f>
        <v>MEDIANO</v>
      </c>
      <c r="H95" s="92" t="str">
        <f>IF([1]!DataIris[[#This Row],[Ancho de sépalo]]&lt;=3.2,"ESTRECHO","ANCHO")</f>
        <v>ESTRECHO</v>
      </c>
      <c r="I95" s="92" t="str">
        <f>IF([1]!DataIris[[#This Row],[Largo de pétalo]]&lt;=3,"CORTO",IF([1]!DataIris[[#This Row],[Largo de pétalo]]&lt;=5,"MEDIANO","LARGO"))</f>
        <v>LARGO</v>
      </c>
      <c r="J95" s="92" t="str">
        <f>IF([1]!DataIris[[#This Row],[Ancho de pétalo]]&lt;=1.4,"ESTRECHO","ANCHO")</f>
        <v>ESTRECHO</v>
      </c>
      <c r="K95" s="92" t="s">
        <v>25</v>
      </c>
    </row>
    <row r="96" spans="2:11">
      <c r="B96" s="92">
        <v>6.1</v>
      </c>
      <c r="C96" s="92">
        <v>3</v>
      </c>
      <c r="D96" s="92">
        <v>4.9000000000000004</v>
      </c>
      <c r="E96" s="92">
        <v>1.8</v>
      </c>
      <c r="F96" s="92" t="s">
        <v>27</v>
      </c>
      <c r="G96" s="92" t="str">
        <f>IF([1]!DataIris[[#This Row],[Largo de sépalo]]&lt;=5.5,"CORTO",IF([1]!DataIris[[#This Row],[Largo de sépalo]]&lt;=6.7,"MEDIANO","LARGO"))</f>
        <v>MEDIANO</v>
      </c>
      <c r="H96" s="92" t="str">
        <f>IF([1]!DataIris[[#This Row],[Ancho de sépalo]]&lt;=3.2,"ESTRECHO","ANCHO")</f>
        <v>ESTRECHO</v>
      </c>
      <c r="I96" s="92" t="str">
        <f>IF([1]!DataIris[[#This Row],[Largo de pétalo]]&lt;=3,"CORTO",IF([1]!DataIris[[#This Row],[Largo de pétalo]]&lt;=5,"MEDIANO","LARGO"))</f>
        <v>MEDIANO</v>
      </c>
      <c r="J96" s="92" t="str">
        <f>IF([1]!DataIris[[#This Row],[Ancho de pétalo]]&lt;=1.4,"ESTRECHO","ANCHO")</f>
        <v>ANCHO</v>
      </c>
      <c r="K96" s="92" t="s">
        <v>25</v>
      </c>
    </row>
    <row r="97" spans="2:11">
      <c r="B97" s="92">
        <v>6.2</v>
      </c>
      <c r="C97" s="92">
        <v>2.9</v>
      </c>
      <c r="D97" s="92">
        <v>4.3</v>
      </c>
      <c r="E97" s="92">
        <v>1.3</v>
      </c>
      <c r="F97" s="92" t="s">
        <v>26</v>
      </c>
      <c r="G97" s="92" t="str">
        <f>IF([1]!DataIris[[#This Row],[Largo de sépalo]]&lt;=5.5,"CORTO",IF([1]!DataIris[[#This Row],[Largo de sépalo]]&lt;=6.7,"MEDIANO","LARGO"))</f>
        <v>MEDIANO</v>
      </c>
      <c r="H97" s="92" t="str">
        <f>IF([1]!DataIris[[#This Row],[Ancho de sépalo]]&lt;=3.2,"ESTRECHO","ANCHO")</f>
        <v>ESTRECHO</v>
      </c>
      <c r="I97" s="92" t="str">
        <f>IF([1]!DataIris[[#This Row],[Largo de pétalo]]&lt;=3,"CORTO",IF([1]!DataIris[[#This Row],[Largo de pétalo]]&lt;=5,"MEDIANO","LARGO"))</f>
        <v>MEDIANO</v>
      </c>
      <c r="J97" s="92" t="str">
        <f>IF([1]!DataIris[[#This Row],[Ancho de pétalo]]&lt;=1.4,"ESTRECHO","ANCHO")</f>
        <v>ESTRECHO</v>
      </c>
      <c r="K97" s="92" t="s">
        <v>25</v>
      </c>
    </row>
    <row r="98" spans="2:11">
      <c r="B98" s="92">
        <v>6.2</v>
      </c>
      <c r="C98" s="92">
        <v>2.2000000000000002</v>
      </c>
      <c r="D98" s="92">
        <v>4.5</v>
      </c>
      <c r="E98" s="92">
        <v>1.5</v>
      </c>
      <c r="F98" s="92" t="s">
        <v>26</v>
      </c>
      <c r="G98" s="92" t="str">
        <f>IF([1]!DataIris[[#This Row],[Largo de sépalo]]&lt;=5.5,"CORTO",IF([1]!DataIris[[#This Row],[Largo de sépalo]]&lt;=6.7,"MEDIANO","LARGO"))</f>
        <v>MEDIANO</v>
      </c>
      <c r="H98" s="92" t="str">
        <f>IF([1]!DataIris[[#This Row],[Ancho de sépalo]]&lt;=3.2,"ESTRECHO","ANCHO")</f>
        <v>ESTRECHO</v>
      </c>
      <c r="I98" s="92" t="str">
        <f>IF([1]!DataIris[[#This Row],[Largo de pétalo]]&lt;=3,"CORTO",IF([1]!DataIris[[#This Row],[Largo de pétalo]]&lt;=5,"MEDIANO","LARGO"))</f>
        <v>MEDIANO</v>
      </c>
      <c r="J98" s="92" t="str">
        <f>IF([1]!DataIris[[#This Row],[Ancho de pétalo]]&lt;=1.4,"ESTRECHO","ANCHO")</f>
        <v>ANCHO</v>
      </c>
      <c r="K98" s="92" t="s">
        <v>25</v>
      </c>
    </row>
    <row r="99" spans="2:11">
      <c r="B99" s="92">
        <v>6.2</v>
      </c>
      <c r="C99" s="92">
        <v>2.8</v>
      </c>
      <c r="D99" s="92">
        <v>4.8</v>
      </c>
      <c r="E99" s="92">
        <v>1.8</v>
      </c>
      <c r="F99" s="92" t="s">
        <v>27</v>
      </c>
      <c r="G99" s="92" t="str">
        <f>IF([1]!DataIris[[#This Row],[Largo de sépalo]]&lt;=5.5,"CORTO",IF([1]!DataIris[[#This Row],[Largo de sépalo]]&lt;=6.7,"MEDIANO","LARGO"))</f>
        <v>MEDIANO</v>
      </c>
      <c r="H99" s="92" t="str">
        <f>IF([1]!DataIris[[#This Row],[Ancho de sépalo]]&lt;=3.2,"ESTRECHO","ANCHO")</f>
        <v>ESTRECHO</v>
      </c>
      <c r="I99" s="92" t="str">
        <f>IF([1]!DataIris[[#This Row],[Largo de pétalo]]&lt;=3,"CORTO",IF([1]!DataIris[[#This Row],[Largo de pétalo]]&lt;=5,"MEDIANO","LARGO"))</f>
        <v>MEDIANO</v>
      </c>
      <c r="J99" s="92" t="str">
        <f>IF([1]!DataIris[[#This Row],[Ancho de pétalo]]&lt;=1.4,"ESTRECHO","ANCHO")</f>
        <v>ANCHO</v>
      </c>
      <c r="K99" s="92" t="s">
        <v>25</v>
      </c>
    </row>
    <row r="100" spans="2:11">
      <c r="B100" s="92">
        <v>6.2</v>
      </c>
      <c r="C100" s="92">
        <v>3.4</v>
      </c>
      <c r="D100" s="92">
        <v>5.4</v>
      </c>
      <c r="E100" s="92">
        <v>2.2999999999999998</v>
      </c>
      <c r="F100" s="92" t="s">
        <v>27</v>
      </c>
      <c r="G100" s="92" t="str">
        <f>IF([1]!DataIris[[#This Row],[Largo de sépalo]]&lt;=5.5,"CORTO",IF([1]!DataIris[[#This Row],[Largo de sépalo]]&lt;=6.7,"MEDIANO","LARGO"))</f>
        <v>MEDIANO</v>
      </c>
      <c r="H100" s="92" t="str">
        <f>IF([1]!DataIris[[#This Row],[Ancho de sépalo]]&lt;=3.2,"ESTRECHO","ANCHO")</f>
        <v>ANCHO</v>
      </c>
      <c r="I100" s="92" t="str">
        <f>IF([1]!DataIris[[#This Row],[Largo de pétalo]]&lt;=3,"CORTO",IF([1]!DataIris[[#This Row],[Largo de pétalo]]&lt;=5,"MEDIANO","LARGO"))</f>
        <v>LARGO</v>
      </c>
      <c r="J100" s="92" t="str">
        <f>IF([1]!DataIris[[#This Row],[Ancho de pétalo]]&lt;=1.4,"ESTRECHO","ANCHO")</f>
        <v>ANCHO</v>
      </c>
      <c r="K100" s="92" t="s">
        <v>25</v>
      </c>
    </row>
    <row r="101" spans="2:11">
      <c r="B101" s="92">
        <v>6.3</v>
      </c>
      <c r="C101" s="92">
        <v>2.2999999999999998</v>
      </c>
      <c r="D101" s="92">
        <v>4.4000000000000004</v>
      </c>
      <c r="E101" s="92">
        <v>1.3</v>
      </c>
      <c r="F101" s="92" t="s">
        <v>26</v>
      </c>
      <c r="G101" s="92" t="str">
        <f>IF([1]!DataIris[[#This Row],[Largo de sépalo]]&lt;=5.5,"CORTO",IF([1]!DataIris[[#This Row],[Largo de sépalo]]&lt;=6.7,"MEDIANO","LARGO"))</f>
        <v>MEDIANO</v>
      </c>
      <c r="H101" s="92" t="str">
        <f>IF([1]!DataIris[[#This Row],[Ancho de sépalo]]&lt;=3.2,"ESTRECHO","ANCHO")</f>
        <v>ESTRECHO</v>
      </c>
      <c r="I101" s="92" t="str">
        <f>IF([1]!DataIris[[#This Row],[Largo de pétalo]]&lt;=3,"CORTO",IF([1]!DataIris[[#This Row],[Largo de pétalo]]&lt;=5,"MEDIANO","LARGO"))</f>
        <v>MEDIANO</v>
      </c>
      <c r="J101" s="92" t="str">
        <f>IF([1]!DataIris[[#This Row],[Ancho de pétalo]]&lt;=1.4,"ESTRECHO","ANCHO")</f>
        <v>ESTRECHO</v>
      </c>
      <c r="K101" s="92" t="s">
        <v>25</v>
      </c>
    </row>
    <row r="102" spans="2:11">
      <c r="B102" s="92">
        <v>6.3</v>
      </c>
      <c r="C102" s="92">
        <v>2.5</v>
      </c>
      <c r="D102" s="92">
        <v>4.9000000000000004</v>
      </c>
      <c r="E102" s="92">
        <v>1.5</v>
      </c>
      <c r="F102" s="92" t="s">
        <v>26</v>
      </c>
      <c r="G102" s="92" t="str">
        <f>IF([1]!DataIris[[#This Row],[Largo de sépalo]]&lt;=5.5,"CORTO",IF([1]!DataIris[[#This Row],[Largo de sépalo]]&lt;=6.7,"MEDIANO","LARGO"))</f>
        <v>MEDIANO</v>
      </c>
      <c r="H102" s="92" t="str">
        <f>IF([1]!DataIris[[#This Row],[Ancho de sépalo]]&lt;=3.2,"ESTRECHO","ANCHO")</f>
        <v>ESTRECHO</v>
      </c>
      <c r="I102" s="92" t="str">
        <f>IF([1]!DataIris[[#This Row],[Largo de pétalo]]&lt;=3,"CORTO",IF([1]!DataIris[[#This Row],[Largo de pétalo]]&lt;=5,"MEDIANO","LARGO"))</f>
        <v>MEDIANO</v>
      </c>
      <c r="J102" s="92" t="str">
        <f>IF([1]!DataIris[[#This Row],[Ancho de pétalo]]&lt;=1.4,"ESTRECHO","ANCHO")</f>
        <v>ANCHO</v>
      </c>
      <c r="K102" s="92" t="s">
        <v>25</v>
      </c>
    </row>
    <row r="103" spans="2:11">
      <c r="B103" s="92">
        <v>6.3</v>
      </c>
      <c r="C103" s="92">
        <v>2.8</v>
      </c>
      <c r="D103" s="92">
        <v>5.0999999999999996</v>
      </c>
      <c r="E103" s="92">
        <v>1.5</v>
      </c>
      <c r="F103" s="92" t="s">
        <v>27</v>
      </c>
      <c r="G103" s="92" t="str">
        <f>IF([1]!DataIris[[#This Row],[Largo de sépalo]]&lt;=5.5,"CORTO",IF([1]!DataIris[[#This Row],[Largo de sépalo]]&lt;=6.7,"MEDIANO","LARGO"))</f>
        <v>MEDIANO</v>
      </c>
      <c r="H103" s="92" t="str">
        <f>IF([1]!DataIris[[#This Row],[Ancho de sépalo]]&lt;=3.2,"ESTRECHO","ANCHO")</f>
        <v>ESTRECHO</v>
      </c>
      <c r="I103" s="92" t="str">
        <f>IF([1]!DataIris[[#This Row],[Largo de pétalo]]&lt;=3,"CORTO",IF([1]!DataIris[[#This Row],[Largo de pétalo]]&lt;=5,"MEDIANO","LARGO"))</f>
        <v>LARGO</v>
      </c>
      <c r="J103" s="92" t="str">
        <f>IF([1]!DataIris[[#This Row],[Ancho de pétalo]]&lt;=1.4,"ESTRECHO","ANCHO")</f>
        <v>ANCHO</v>
      </c>
      <c r="K103" s="92" t="s">
        <v>25</v>
      </c>
    </row>
    <row r="104" spans="2:11">
      <c r="B104" s="92">
        <v>6.3</v>
      </c>
      <c r="C104" s="92">
        <v>3.3</v>
      </c>
      <c r="D104" s="92">
        <v>4.7</v>
      </c>
      <c r="E104" s="92">
        <v>1.6</v>
      </c>
      <c r="F104" s="92" t="s">
        <v>26</v>
      </c>
      <c r="G104" s="92" t="str">
        <f>IF([1]!DataIris[[#This Row],[Largo de sépalo]]&lt;=5.5,"CORTO",IF([1]!DataIris[[#This Row],[Largo de sépalo]]&lt;=6.7,"MEDIANO","LARGO"))</f>
        <v>MEDIANO</v>
      </c>
      <c r="H104" s="92" t="str">
        <f>IF([1]!DataIris[[#This Row],[Ancho de sépalo]]&lt;=3.2,"ESTRECHO","ANCHO")</f>
        <v>ANCHO</v>
      </c>
      <c r="I104" s="92" t="str">
        <f>IF([1]!DataIris[[#This Row],[Largo de pétalo]]&lt;=3,"CORTO",IF([1]!DataIris[[#This Row],[Largo de pétalo]]&lt;=5,"MEDIANO","LARGO"))</f>
        <v>MEDIANO</v>
      </c>
      <c r="J104" s="92" t="str">
        <f>IF([1]!DataIris[[#This Row],[Ancho de pétalo]]&lt;=1.4,"ESTRECHO","ANCHO")</f>
        <v>ANCHO</v>
      </c>
      <c r="K104" s="92" t="s">
        <v>25</v>
      </c>
    </row>
    <row r="105" spans="2:11">
      <c r="B105" s="92">
        <v>6.3</v>
      </c>
      <c r="C105" s="92">
        <v>2.7</v>
      </c>
      <c r="D105" s="92">
        <v>4.9000000000000004</v>
      </c>
      <c r="E105" s="92">
        <v>1.8</v>
      </c>
      <c r="F105" s="92" t="s">
        <v>27</v>
      </c>
      <c r="G105" s="92" t="str">
        <f>IF([1]!DataIris[[#This Row],[Largo de sépalo]]&lt;=5.5,"CORTO",IF([1]!DataIris[[#This Row],[Largo de sépalo]]&lt;=6.7,"MEDIANO","LARGO"))</f>
        <v>MEDIANO</v>
      </c>
      <c r="H105" s="92" t="str">
        <f>IF([1]!DataIris[[#This Row],[Ancho de sépalo]]&lt;=3.2,"ESTRECHO","ANCHO")</f>
        <v>ESTRECHO</v>
      </c>
      <c r="I105" s="92" t="str">
        <f>IF([1]!DataIris[[#This Row],[Largo de pétalo]]&lt;=3,"CORTO",IF([1]!DataIris[[#This Row],[Largo de pétalo]]&lt;=5,"MEDIANO","LARGO"))</f>
        <v>MEDIANO</v>
      </c>
      <c r="J105" s="92" t="str">
        <f>IF([1]!DataIris[[#This Row],[Ancho de pétalo]]&lt;=1.4,"ESTRECHO","ANCHO")</f>
        <v>ANCHO</v>
      </c>
      <c r="K105" s="92" t="s">
        <v>25</v>
      </c>
    </row>
    <row r="106" spans="2:11">
      <c r="B106" s="92">
        <v>6.3</v>
      </c>
      <c r="C106" s="92">
        <v>2.9</v>
      </c>
      <c r="D106" s="92">
        <v>5.6</v>
      </c>
      <c r="E106" s="92">
        <v>1.8</v>
      </c>
      <c r="F106" s="92" t="s">
        <v>27</v>
      </c>
      <c r="G106" s="92" t="str">
        <f>IF([1]!DataIris[[#This Row],[Largo de sépalo]]&lt;=5.5,"CORTO",IF([1]!DataIris[[#This Row],[Largo de sépalo]]&lt;=6.7,"MEDIANO","LARGO"))</f>
        <v>MEDIANO</v>
      </c>
      <c r="H106" s="92" t="str">
        <f>IF([1]!DataIris[[#This Row],[Ancho de sépalo]]&lt;=3.2,"ESTRECHO","ANCHO")</f>
        <v>ESTRECHO</v>
      </c>
      <c r="I106" s="92" t="str">
        <f>IF([1]!DataIris[[#This Row],[Largo de pétalo]]&lt;=3,"CORTO",IF([1]!DataIris[[#This Row],[Largo de pétalo]]&lt;=5,"MEDIANO","LARGO"))</f>
        <v>LARGO</v>
      </c>
      <c r="J106" s="92" t="str">
        <f>IF([1]!DataIris[[#This Row],[Ancho de pétalo]]&lt;=1.4,"ESTRECHO","ANCHO")</f>
        <v>ANCHO</v>
      </c>
      <c r="K106" s="92" t="s">
        <v>25</v>
      </c>
    </row>
    <row r="107" spans="2:11">
      <c r="B107" s="92">
        <v>6.3</v>
      </c>
      <c r="C107" s="92">
        <v>2.5</v>
      </c>
      <c r="D107" s="92">
        <v>5</v>
      </c>
      <c r="E107" s="92">
        <v>1.9</v>
      </c>
      <c r="F107" s="92" t="s">
        <v>27</v>
      </c>
      <c r="G107" s="92" t="str">
        <f>IF([1]!DataIris[[#This Row],[Largo de sépalo]]&lt;=5.5,"CORTO",IF([1]!DataIris[[#This Row],[Largo de sépalo]]&lt;=6.7,"MEDIANO","LARGO"))</f>
        <v>MEDIANO</v>
      </c>
      <c r="H107" s="92" t="str">
        <f>IF([1]!DataIris[[#This Row],[Ancho de sépalo]]&lt;=3.2,"ESTRECHO","ANCHO")</f>
        <v>ESTRECHO</v>
      </c>
      <c r="I107" s="92" t="str">
        <f>IF([1]!DataIris[[#This Row],[Largo de pétalo]]&lt;=3,"CORTO",IF([1]!DataIris[[#This Row],[Largo de pétalo]]&lt;=5,"MEDIANO","LARGO"))</f>
        <v>MEDIANO</v>
      </c>
      <c r="J107" s="92" t="str">
        <f>IF([1]!DataIris[[#This Row],[Ancho de pétalo]]&lt;=1.4,"ESTRECHO","ANCHO")</f>
        <v>ANCHO</v>
      </c>
      <c r="K107" s="92" t="s">
        <v>25</v>
      </c>
    </row>
    <row r="108" spans="2:11">
      <c r="B108" s="92">
        <v>6.3</v>
      </c>
      <c r="C108" s="92">
        <v>3.4</v>
      </c>
      <c r="D108" s="92">
        <v>5.6</v>
      </c>
      <c r="E108" s="92">
        <v>2.4</v>
      </c>
      <c r="F108" s="92" t="s">
        <v>27</v>
      </c>
      <c r="G108" s="92" t="str">
        <f>IF([1]!DataIris[[#This Row],[Largo de sépalo]]&lt;=5.5,"CORTO",IF([1]!DataIris[[#This Row],[Largo de sépalo]]&lt;=6.7,"MEDIANO","LARGO"))</f>
        <v>MEDIANO</v>
      </c>
      <c r="H108" s="92" t="str">
        <f>IF([1]!DataIris[[#This Row],[Ancho de sépalo]]&lt;=3.2,"ESTRECHO","ANCHO")</f>
        <v>ANCHO</v>
      </c>
      <c r="I108" s="92" t="str">
        <f>IF([1]!DataIris[[#This Row],[Largo de pétalo]]&lt;=3,"CORTO",IF([1]!DataIris[[#This Row],[Largo de pétalo]]&lt;=5,"MEDIANO","LARGO"))</f>
        <v>LARGO</v>
      </c>
      <c r="J108" s="92" t="str">
        <f>IF([1]!DataIris[[#This Row],[Ancho de pétalo]]&lt;=1.4,"ESTRECHO","ANCHO")</f>
        <v>ANCHO</v>
      </c>
      <c r="K108" s="92" t="s">
        <v>25</v>
      </c>
    </row>
    <row r="109" spans="2:11">
      <c r="B109" s="92">
        <v>6.3</v>
      </c>
      <c r="C109" s="92">
        <v>3.3</v>
      </c>
      <c r="D109" s="92">
        <v>6</v>
      </c>
      <c r="E109" s="92">
        <v>2.5</v>
      </c>
      <c r="F109" s="92" t="s">
        <v>27</v>
      </c>
      <c r="G109" s="92" t="str">
        <f>IF([1]!DataIris[[#This Row],[Largo de sépalo]]&lt;=5.5,"CORTO",IF([1]!DataIris[[#This Row],[Largo de sépalo]]&lt;=6.7,"MEDIANO","LARGO"))</f>
        <v>MEDIANO</v>
      </c>
      <c r="H109" s="92" t="str">
        <f>IF([1]!DataIris[[#This Row],[Ancho de sépalo]]&lt;=3.2,"ESTRECHO","ANCHO")</f>
        <v>ANCHO</v>
      </c>
      <c r="I109" s="92" t="str">
        <f>IF([1]!DataIris[[#This Row],[Largo de pétalo]]&lt;=3,"CORTO",IF([1]!DataIris[[#This Row],[Largo de pétalo]]&lt;=5,"MEDIANO","LARGO"))</f>
        <v>LARGO</v>
      </c>
      <c r="J109" s="92" t="str">
        <f>IF([1]!DataIris[[#This Row],[Ancho de pétalo]]&lt;=1.4,"ESTRECHO","ANCHO")</f>
        <v>ANCHO</v>
      </c>
      <c r="K109" s="92" t="s">
        <v>25</v>
      </c>
    </row>
    <row r="110" spans="2:11">
      <c r="B110" s="92">
        <v>6.4</v>
      </c>
      <c r="C110" s="92">
        <v>2.9</v>
      </c>
      <c r="D110" s="92">
        <v>4.3</v>
      </c>
      <c r="E110" s="92">
        <v>1.3</v>
      </c>
      <c r="F110" s="92" t="s">
        <v>26</v>
      </c>
      <c r="G110" s="92" t="str">
        <f>IF([1]!DataIris[[#This Row],[Largo de sépalo]]&lt;=5.5,"CORTO",IF([1]!DataIris[[#This Row],[Largo de sépalo]]&lt;=6.7,"MEDIANO","LARGO"))</f>
        <v>MEDIANO</v>
      </c>
      <c r="H110" s="92" t="str">
        <f>IF([1]!DataIris[[#This Row],[Ancho de sépalo]]&lt;=3.2,"ESTRECHO","ANCHO")</f>
        <v>ESTRECHO</v>
      </c>
      <c r="I110" s="92" t="str">
        <f>IF([1]!DataIris[[#This Row],[Largo de pétalo]]&lt;=3,"CORTO",IF([1]!DataIris[[#This Row],[Largo de pétalo]]&lt;=5,"MEDIANO","LARGO"))</f>
        <v>MEDIANO</v>
      </c>
      <c r="J110" s="92" t="str">
        <f>IF([1]!DataIris[[#This Row],[Ancho de pétalo]]&lt;=1.4,"ESTRECHO","ANCHO")</f>
        <v>ESTRECHO</v>
      </c>
      <c r="K110" s="92" t="s">
        <v>26</v>
      </c>
    </row>
    <row r="111" spans="2:11">
      <c r="B111" s="92">
        <v>6.4</v>
      </c>
      <c r="C111" s="92">
        <v>3.2</v>
      </c>
      <c r="D111" s="92">
        <v>4.5</v>
      </c>
      <c r="E111" s="92">
        <v>1.5</v>
      </c>
      <c r="F111" s="92" t="s">
        <v>26</v>
      </c>
      <c r="G111" s="92" t="str">
        <f>IF([1]!DataIris[[#This Row],[Largo de sépalo]]&lt;=5.5,"CORTO",IF([1]!DataIris[[#This Row],[Largo de sépalo]]&lt;=6.7,"MEDIANO","LARGO"))</f>
        <v>MEDIANO</v>
      </c>
      <c r="H111" s="92" t="str">
        <f>IF([1]!DataIris[[#This Row],[Ancho de sépalo]]&lt;=3.2,"ESTRECHO","ANCHO")</f>
        <v>ESTRECHO</v>
      </c>
      <c r="I111" s="92" t="str">
        <f>IF([1]!DataIris[[#This Row],[Largo de pétalo]]&lt;=3,"CORTO",IF([1]!DataIris[[#This Row],[Largo de pétalo]]&lt;=5,"MEDIANO","LARGO"))</f>
        <v>MEDIANO</v>
      </c>
      <c r="J111" s="92" t="str">
        <f>IF([1]!DataIris[[#This Row],[Ancho de pétalo]]&lt;=1.4,"ESTRECHO","ANCHO")</f>
        <v>ANCHO</v>
      </c>
      <c r="K111" s="92" t="s">
        <v>27</v>
      </c>
    </row>
    <row r="112" spans="2:11">
      <c r="B112" s="92">
        <v>6.4</v>
      </c>
      <c r="C112" s="92">
        <v>3.1</v>
      </c>
      <c r="D112" s="92">
        <v>5.5</v>
      </c>
      <c r="E112" s="92">
        <v>1.8</v>
      </c>
      <c r="F112" s="92" t="s">
        <v>27</v>
      </c>
      <c r="G112" s="92" t="str">
        <f>IF([1]!DataIris[[#This Row],[Largo de sépalo]]&lt;=5.5,"CORTO",IF([1]!DataIris[[#This Row],[Largo de sépalo]]&lt;=6.7,"MEDIANO","LARGO"))</f>
        <v>MEDIANO</v>
      </c>
      <c r="H112" s="92" t="str">
        <f>IF([1]!DataIris[[#This Row],[Ancho de sépalo]]&lt;=3.2,"ESTRECHO","ANCHO")</f>
        <v>ESTRECHO</v>
      </c>
      <c r="I112" s="92" t="str">
        <f>IF([1]!DataIris[[#This Row],[Largo de pétalo]]&lt;=3,"CORTO",IF([1]!DataIris[[#This Row],[Largo de pétalo]]&lt;=5,"MEDIANO","LARGO"))</f>
        <v>LARGO</v>
      </c>
      <c r="J112" s="92" t="str">
        <f>IF([1]!DataIris[[#This Row],[Ancho de pétalo]]&lt;=1.4,"ESTRECHO","ANCHO")</f>
        <v>ANCHO</v>
      </c>
      <c r="K112" s="92" t="s">
        <v>25</v>
      </c>
    </row>
    <row r="113" spans="2:11">
      <c r="B113" s="92">
        <v>6.4</v>
      </c>
      <c r="C113" s="92">
        <v>2.7</v>
      </c>
      <c r="D113" s="92">
        <v>5.3</v>
      </c>
      <c r="E113" s="92">
        <v>1.9</v>
      </c>
      <c r="F113" s="92" t="s">
        <v>27</v>
      </c>
      <c r="G113" s="92" t="str">
        <f>IF([1]!DataIris[[#This Row],[Largo de sépalo]]&lt;=5.5,"CORTO",IF([1]!DataIris[[#This Row],[Largo de sépalo]]&lt;=6.7,"MEDIANO","LARGO"))</f>
        <v>MEDIANO</v>
      </c>
      <c r="H113" s="92" t="str">
        <f>IF([1]!DataIris[[#This Row],[Ancho de sépalo]]&lt;=3.2,"ESTRECHO","ANCHO")</f>
        <v>ESTRECHO</v>
      </c>
      <c r="I113" s="92" t="str">
        <f>IF([1]!DataIris[[#This Row],[Largo de pétalo]]&lt;=3,"CORTO",IF([1]!DataIris[[#This Row],[Largo de pétalo]]&lt;=5,"MEDIANO","LARGO"))</f>
        <v>LARGO</v>
      </c>
      <c r="J113" s="92" t="str">
        <f>IF([1]!DataIris[[#This Row],[Ancho de pétalo]]&lt;=1.4,"ESTRECHO","ANCHO")</f>
        <v>ANCHO</v>
      </c>
      <c r="K113" s="92" t="s">
        <v>25</v>
      </c>
    </row>
    <row r="114" spans="2:11">
      <c r="B114" s="92">
        <v>6.4</v>
      </c>
      <c r="C114" s="92">
        <v>2.8</v>
      </c>
      <c r="D114" s="92">
        <v>5.6</v>
      </c>
      <c r="E114" s="92">
        <v>2.1</v>
      </c>
      <c r="F114" s="92" t="s">
        <v>27</v>
      </c>
      <c r="G114" s="92" t="str">
        <f>IF([1]!DataIris[[#This Row],[Largo de sépalo]]&lt;=5.5,"CORTO",IF([1]!DataIris[[#This Row],[Largo de sépalo]]&lt;=6.7,"MEDIANO","LARGO"))</f>
        <v>MEDIANO</v>
      </c>
      <c r="H114" s="92" t="str">
        <f>IF([1]!DataIris[[#This Row],[Ancho de sépalo]]&lt;=3.2,"ESTRECHO","ANCHO")</f>
        <v>ESTRECHO</v>
      </c>
      <c r="I114" s="92" t="str">
        <f>IF([1]!DataIris[[#This Row],[Largo de pétalo]]&lt;=3,"CORTO",IF([1]!DataIris[[#This Row],[Largo de pétalo]]&lt;=5,"MEDIANO","LARGO"))</f>
        <v>LARGO</v>
      </c>
      <c r="J114" s="92" t="str">
        <f>IF([1]!DataIris[[#This Row],[Ancho de pétalo]]&lt;=1.4,"ESTRECHO","ANCHO")</f>
        <v>ANCHO</v>
      </c>
      <c r="K114" s="92" t="s">
        <v>25</v>
      </c>
    </row>
    <row r="115" spans="2:11">
      <c r="B115" s="92">
        <v>6.4</v>
      </c>
      <c r="C115" s="92">
        <v>2.8</v>
      </c>
      <c r="D115" s="92">
        <v>5.6</v>
      </c>
      <c r="E115" s="92">
        <v>2.2000000000000002</v>
      </c>
      <c r="F115" s="92" t="s">
        <v>27</v>
      </c>
      <c r="G115" s="92" t="str">
        <f>IF([1]!DataIris[[#This Row],[Largo de sépalo]]&lt;=5.5,"CORTO",IF([1]!DataIris[[#This Row],[Largo de sépalo]]&lt;=6.7,"MEDIANO","LARGO"))</f>
        <v>MEDIANO</v>
      </c>
      <c r="H115" s="92" t="str">
        <f>IF([1]!DataIris[[#This Row],[Ancho de sépalo]]&lt;=3.2,"ESTRECHO","ANCHO")</f>
        <v>ESTRECHO</v>
      </c>
      <c r="I115" s="92" t="str">
        <f>IF([1]!DataIris[[#This Row],[Largo de pétalo]]&lt;=3,"CORTO",IF([1]!DataIris[[#This Row],[Largo de pétalo]]&lt;=5,"MEDIANO","LARGO"))</f>
        <v>LARGO</v>
      </c>
      <c r="J115" s="92" t="str">
        <f>IF([1]!DataIris[[#This Row],[Ancho de pétalo]]&lt;=1.4,"ESTRECHO","ANCHO")</f>
        <v>ANCHO</v>
      </c>
      <c r="K115" s="92" t="s">
        <v>25</v>
      </c>
    </row>
    <row r="116" spans="2:11">
      <c r="B116" s="92">
        <v>6.4</v>
      </c>
      <c r="C116" s="92">
        <v>3.2</v>
      </c>
      <c r="D116" s="92">
        <v>5.3</v>
      </c>
      <c r="E116" s="92">
        <v>2.2999999999999998</v>
      </c>
      <c r="F116" s="92" t="s">
        <v>27</v>
      </c>
      <c r="G116" s="92" t="str">
        <f>IF([1]!DataIris[[#This Row],[Largo de sépalo]]&lt;=5.5,"CORTO",IF([1]!DataIris[[#This Row],[Largo de sépalo]]&lt;=6.7,"MEDIANO","LARGO"))</f>
        <v>MEDIANO</v>
      </c>
      <c r="H116" s="92" t="str">
        <f>IF([1]!DataIris[[#This Row],[Ancho de sépalo]]&lt;=3.2,"ESTRECHO","ANCHO")</f>
        <v>ESTRECHO</v>
      </c>
      <c r="I116" s="92" t="str">
        <f>IF([1]!DataIris[[#This Row],[Largo de pétalo]]&lt;=3,"CORTO",IF([1]!DataIris[[#This Row],[Largo de pétalo]]&lt;=5,"MEDIANO","LARGO"))</f>
        <v>LARGO</v>
      </c>
      <c r="J116" s="92" t="str">
        <f>IF([1]!DataIris[[#This Row],[Ancho de pétalo]]&lt;=1.4,"ESTRECHO","ANCHO")</f>
        <v>ANCHO</v>
      </c>
      <c r="K116" s="92" t="s">
        <v>25</v>
      </c>
    </row>
    <row r="117" spans="2:11">
      <c r="B117" s="92">
        <v>6.5</v>
      </c>
      <c r="C117" s="92">
        <v>2.8</v>
      </c>
      <c r="D117" s="92">
        <v>4.5999999999999996</v>
      </c>
      <c r="E117" s="92">
        <v>1.5</v>
      </c>
      <c r="F117" s="92" t="s">
        <v>26</v>
      </c>
      <c r="G117" s="92" t="str">
        <f>IF([1]!DataIris[[#This Row],[Largo de sépalo]]&lt;=5.5,"CORTO",IF([1]!DataIris[[#This Row],[Largo de sépalo]]&lt;=6.7,"MEDIANO","LARGO"))</f>
        <v>MEDIANO</v>
      </c>
      <c r="H117" s="92" t="str">
        <f>IF([1]!DataIris[[#This Row],[Ancho de sépalo]]&lt;=3.2,"ESTRECHO","ANCHO")</f>
        <v>ESTRECHO</v>
      </c>
      <c r="I117" s="92" t="str">
        <f>IF([1]!DataIris[[#This Row],[Largo de pétalo]]&lt;=3,"CORTO",IF([1]!DataIris[[#This Row],[Largo de pétalo]]&lt;=5,"MEDIANO","LARGO"))</f>
        <v>MEDIANO</v>
      </c>
      <c r="J117" s="92" t="str">
        <f>IF([1]!DataIris[[#This Row],[Ancho de pétalo]]&lt;=1.4,"ESTRECHO","ANCHO")</f>
        <v>ANCHO</v>
      </c>
      <c r="K117" s="92" t="s">
        <v>25</v>
      </c>
    </row>
    <row r="118" spans="2:11">
      <c r="B118" s="92">
        <v>6.5</v>
      </c>
      <c r="C118" s="92">
        <v>3</v>
      </c>
      <c r="D118" s="92">
        <v>5.5</v>
      </c>
      <c r="E118" s="92">
        <v>1.8</v>
      </c>
      <c r="F118" s="92" t="s">
        <v>27</v>
      </c>
      <c r="G118" s="92" t="str">
        <f>IF([1]!DataIris[[#This Row],[Largo de sépalo]]&lt;=5.5,"CORTO",IF([1]!DataIris[[#This Row],[Largo de sépalo]]&lt;=6.7,"MEDIANO","LARGO"))</f>
        <v>MEDIANO</v>
      </c>
      <c r="H118" s="92" t="str">
        <f>IF([1]!DataIris[[#This Row],[Ancho de sépalo]]&lt;=3.2,"ESTRECHO","ANCHO")</f>
        <v>ESTRECHO</v>
      </c>
      <c r="I118" s="92" t="str">
        <f>IF([1]!DataIris[[#This Row],[Largo de pétalo]]&lt;=3,"CORTO",IF([1]!DataIris[[#This Row],[Largo de pétalo]]&lt;=5,"MEDIANO","LARGO"))</f>
        <v>LARGO</v>
      </c>
      <c r="J118" s="92" t="str">
        <f>IF([1]!DataIris[[#This Row],[Ancho de pétalo]]&lt;=1.4,"ESTRECHO","ANCHO")</f>
        <v>ANCHO</v>
      </c>
      <c r="K118" s="92" t="s">
        <v>25</v>
      </c>
    </row>
    <row r="119" spans="2:11">
      <c r="B119" s="92">
        <v>6.5</v>
      </c>
      <c r="C119" s="92">
        <v>3.2</v>
      </c>
      <c r="D119" s="92">
        <v>5.0999999999999996</v>
      </c>
      <c r="E119" s="92">
        <v>2</v>
      </c>
      <c r="F119" s="92" t="s">
        <v>27</v>
      </c>
      <c r="G119" s="92" t="str">
        <f>IF([1]!DataIris[[#This Row],[Largo de sépalo]]&lt;=5.5,"CORTO",IF([1]!DataIris[[#This Row],[Largo de sépalo]]&lt;=6.7,"MEDIANO","LARGO"))</f>
        <v>MEDIANO</v>
      </c>
      <c r="H119" s="92" t="str">
        <f>IF([1]!DataIris[[#This Row],[Ancho de sépalo]]&lt;=3.2,"ESTRECHO","ANCHO")</f>
        <v>ESTRECHO</v>
      </c>
      <c r="I119" s="92" t="str">
        <f>IF([1]!DataIris[[#This Row],[Largo de pétalo]]&lt;=3,"CORTO",IF([1]!DataIris[[#This Row],[Largo de pétalo]]&lt;=5,"MEDIANO","LARGO"))</f>
        <v>LARGO</v>
      </c>
      <c r="J119" s="92" t="str">
        <f>IF([1]!DataIris[[#This Row],[Ancho de pétalo]]&lt;=1.4,"ESTRECHO","ANCHO")</f>
        <v>ANCHO</v>
      </c>
      <c r="K119" s="92" t="s">
        <v>25</v>
      </c>
    </row>
    <row r="120" spans="2:11">
      <c r="B120" s="92">
        <v>6.5</v>
      </c>
      <c r="C120" s="92">
        <v>3</v>
      </c>
      <c r="D120" s="92">
        <v>5.2</v>
      </c>
      <c r="E120" s="92">
        <v>2</v>
      </c>
      <c r="F120" s="92" t="s">
        <v>27</v>
      </c>
      <c r="G120" s="92" t="str">
        <f>IF([1]!DataIris[[#This Row],[Largo de sépalo]]&lt;=5.5,"CORTO",IF([1]!DataIris[[#This Row],[Largo de sépalo]]&lt;=6.7,"MEDIANO","LARGO"))</f>
        <v>MEDIANO</v>
      </c>
      <c r="H120" s="92" t="str">
        <f>IF([1]!DataIris[[#This Row],[Ancho de sépalo]]&lt;=3.2,"ESTRECHO","ANCHO")</f>
        <v>ESTRECHO</v>
      </c>
      <c r="I120" s="92" t="str">
        <f>IF([1]!DataIris[[#This Row],[Largo de pétalo]]&lt;=3,"CORTO",IF([1]!DataIris[[#This Row],[Largo de pétalo]]&lt;=5,"MEDIANO","LARGO"))</f>
        <v>LARGO</v>
      </c>
      <c r="J120" s="92" t="str">
        <f>IF([1]!DataIris[[#This Row],[Ancho de pétalo]]&lt;=1.4,"ESTRECHO","ANCHO")</f>
        <v>ANCHO</v>
      </c>
      <c r="K120" s="92" t="s">
        <v>26</v>
      </c>
    </row>
    <row r="121" spans="2:11">
      <c r="B121" s="92">
        <v>6.5</v>
      </c>
      <c r="C121" s="92">
        <v>3</v>
      </c>
      <c r="D121" s="92">
        <v>5.8</v>
      </c>
      <c r="E121" s="92">
        <v>2.2000000000000002</v>
      </c>
      <c r="F121" s="92" t="s">
        <v>27</v>
      </c>
      <c r="G121" s="92" t="str">
        <f>IF([1]!DataIris[[#This Row],[Largo de sépalo]]&lt;=5.5,"CORTO",IF([1]!DataIris[[#This Row],[Largo de sépalo]]&lt;=6.7,"MEDIANO","LARGO"))</f>
        <v>MEDIANO</v>
      </c>
      <c r="H121" s="92" t="str">
        <f>IF([1]!DataIris[[#This Row],[Ancho de sépalo]]&lt;=3.2,"ESTRECHO","ANCHO")</f>
        <v>ESTRECHO</v>
      </c>
      <c r="I121" s="92" t="str">
        <f>IF([1]!DataIris[[#This Row],[Largo de pétalo]]&lt;=3,"CORTO",IF([1]!DataIris[[#This Row],[Largo de pétalo]]&lt;=5,"MEDIANO","LARGO"))</f>
        <v>LARGO</v>
      </c>
      <c r="J121" s="92" t="str">
        <f>IF([1]!DataIris[[#This Row],[Ancho de pétalo]]&lt;=1.4,"ESTRECHO","ANCHO")</f>
        <v>ANCHO</v>
      </c>
      <c r="K121" s="92" t="s">
        <v>26</v>
      </c>
    </row>
    <row r="122" spans="2:11">
      <c r="B122" s="92">
        <v>6.6</v>
      </c>
      <c r="C122" s="92">
        <v>2.9</v>
      </c>
      <c r="D122" s="92">
        <v>4.5999999999999996</v>
      </c>
      <c r="E122" s="92">
        <v>1.3</v>
      </c>
      <c r="F122" s="92" t="s">
        <v>26</v>
      </c>
      <c r="G122" s="92" t="str">
        <f>IF([1]!DataIris[[#This Row],[Largo de sépalo]]&lt;=5.5,"CORTO",IF([1]!DataIris[[#This Row],[Largo de sépalo]]&lt;=6.7,"MEDIANO","LARGO"))</f>
        <v>MEDIANO</v>
      </c>
      <c r="H122" s="92" t="str">
        <f>IF([1]!DataIris[[#This Row],[Ancho de sépalo]]&lt;=3.2,"ESTRECHO","ANCHO")</f>
        <v>ESTRECHO</v>
      </c>
      <c r="I122" s="92" t="str">
        <f>IF([1]!DataIris[[#This Row],[Largo de pétalo]]&lt;=3,"CORTO",IF([1]!DataIris[[#This Row],[Largo de pétalo]]&lt;=5,"MEDIANO","LARGO"))</f>
        <v>MEDIANO</v>
      </c>
      <c r="J122" s="92" t="str">
        <f>IF([1]!DataIris[[#This Row],[Ancho de pétalo]]&lt;=1.4,"ESTRECHO","ANCHO")</f>
        <v>ESTRECHO</v>
      </c>
      <c r="K122" s="92" t="s">
        <v>25</v>
      </c>
    </row>
    <row r="123" spans="2:11">
      <c r="B123" s="92">
        <v>6.6</v>
      </c>
      <c r="C123" s="92">
        <v>3</v>
      </c>
      <c r="D123" s="92">
        <v>4.4000000000000004</v>
      </c>
      <c r="E123" s="92">
        <v>1.4</v>
      </c>
      <c r="F123" s="92" t="s">
        <v>26</v>
      </c>
      <c r="G123" s="92" t="str">
        <f>IF([1]!DataIris[[#This Row],[Largo de sépalo]]&lt;=5.5,"CORTO",IF([1]!DataIris[[#This Row],[Largo de sépalo]]&lt;=6.7,"MEDIANO","LARGO"))</f>
        <v>MEDIANO</v>
      </c>
      <c r="H123" s="92" t="str">
        <f>IF([1]!DataIris[[#This Row],[Ancho de sépalo]]&lt;=3.2,"ESTRECHO","ANCHO")</f>
        <v>ESTRECHO</v>
      </c>
      <c r="I123" s="92" t="str">
        <f>IF([1]!DataIris[[#This Row],[Largo de pétalo]]&lt;=3,"CORTO",IF([1]!DataIris[[#This Row],[Largo de pétalo]]&lt;=5,"MEDIANO","LARGO"))</f>
        <v>MEDIANO</v>
      </c>
      <c r="J123" s="92" t="str">
        <f>IF([1]!DataIris[[#This Row],[Ancho de pétalo]]&lt;=1.4,"ESTRECHO","ANCHO")</f>
        <v>ESTRECHO</v>
      </c>
      <c r="K123" s="92" t="s">
        <v>25</v>
      </c>
    </row>
    <row r="124" spans="2:11">
      <c r="B124" s="92">
        <v>6.7</v>
      </c>
      <c r="C124" s="92">
        <v>3.1</v>
      </c>
      <c r="D124" s="92">
        <v>4.4000000000000004</v>
      </c>
      <c r="E124" s="92">
        <v>1.4</v>
      </c>
      <c r="F124" s="92" t="s">
        <v>26</v>
      </c>
      <c r="G124" s="92" t="str">
        <f>IF([1]!DataIris[[#This Row],[Largo de sépalo]]&lt;=5.5,"CORTO",IF([1]!DataIris[[#This Row],[Largo de sépalo]]&lt;=6.7,"MEDIANO","LARGO"))</f>
        <v>MEDIANO</v>
      </c>
      <c r="H124" s="92" t="str">
        <f>IF([1]!DataIris[[#This Row],[Ancho de sépalo]]&lt;=3.2,"ESTRECHO","ANCHO")</f>
        <v>ESTRECHO</v>
      </c>
      <c r="I124" s="92" t="str">
        <f>IF([1]!DataIris[[#This Row],[Largo de pétalo]]&lt;=3,"CORTO",IF([1]!DataIris[[#This Row],[Largo de pétalo]]&lt;=5,"MEDIANO","LARGO"))</f>
        <v>MEDIANO</v>
      </c>
      <c r="J124" s="92" t="str">
        <f>IF([1]!DataIris[[#This Row],[Ancho de pétalo]]&lt;=1.4,"ESTRECHO","ANCHO")</f>
        <v>ESTRECHO</v>
      </c>
      <c r="K124" s="92" t="s">
        <v>25</v>
      </c>
    </row>
    <row r="125" spans="2:11">
      <c r="B125" s="92">
        <v>6.7</v>
      </c>
      <c r="C125" s="92">
        <v>3.1</v>
      </c>
      <c r="D125" s="92">
        <v>4.7</v>
      </c>
      <c r="E125" s="92">
        <v>1.5</v>
      </c>
      <c r="F125" s="92" t="s">
        <v>26</v>
      </c>
      <c r="G125" s="92" t="str">
        <f>IF([1]!DataIris[[#This Row],[Largo de sépalo]]&lt;=5.5,"CORTO",IF([1]!DataIris[[#This Row],[Largo de sépalo]]&lt;=6.7,"MEDIANO","LARGO"))</f>
        <v>MEDIANO</v>
      </c>
      <c r="H125" s="92" t="str">
        <f>IF([1]!DataIris[[#This Row],[Ancho de sépalo]]&lt;=3.2,"ESTRECHO","ANCHO")</f>
        <v>ESTRECHO</v>
      </c>
      <c r="I125" s="92" t="str">
        <f>IF([1]!DataIris[[#This Row],[Largo de pétalo]]&lt;=3,"CORTO",IF([1]!DataIris[[#This Row],[Largo de pétalo]]&lt;=5,"MEDIANO","LARGO"))</f>
        <v>MEDIANO</v>
      </c>
      <c r="J125" s="92" t="str">
        <f>IF([1]!DataIris[[#This Row],[Ancho de pétalo]]&lt;=1.4,"ESTRECHO","ANCHO")</f>
        <v>ANCHO</v>
      </c>
      <c r="K125" s="92" t="s">
        <v>25</v>
      </c>
    </row>
    <row r="126" spans="2:11">
      <c r="B126" s="92">
        <v>6.7</v>
      </c>
      <c r="C126" s="92">
        <v>3</v>
      </c>
      <c r="D126" s="92">
        <v>5</v>
      </c>
      <c r="E126" s="92">
        <v>1.7</v>
      </c>
      <c r="F126" s="92" t="s">
        <v>26</v>
      </c>
      <c r="G126" s="92" t="str">
        <f>IF([1]!DataIris[[#This Row],[Largo de sépalo]]&lt;=5.5,"CORTO",IF([1]!DataIris[[#This Row],[Largo de sépalo]]&lt;=6.7,"MEDIANO","LARGO"))</f>
        <v>MEDIANO</v>
      </c>
      <c r="H126" s="92" t="str">
        <f>IF([1]!DataIris[[#This Row],[Ancho de sépalo]]&lt;=3.2,"ESTRECHO","ANCHO")</f>
        <v>ESTRECHO</v>
      </c>
      <c r="I126" s="92" t="str">
        <f>IF([1]!DataIris[[#This Row],[Largo de pétalo]]&lt;=3,"CORTO",IF([1]!DataIris[[#This Row],[Largo de pétalo]]&lt;=5,"MEDIANO","LARGO"))</f>
        <v>MEDIANO</v>
      </c>
      <c r="J126" s="92" t="str">
        <f>IF([1]!DataIris[[#This Row],[Ancho de pétalo]]&lt;=1.4,"ESTRECHO","ANCHO")</f>
        <v>ANCHO</v>
      </c>
      <c r="K126" s="92" t="s">
        <v>25</v>
      </c>
    </row>
    <row r="127" spans="2:11">
      <c r="B127" s="92">
        <v>6.7</v>
      </c>
      <c r="C127" s="92">
        <v>2.5</v>
      </c>
      <c r="D127" s="92">
        <v>5.8</v>
      </c>
      <c r="E127" s="92">
        <v>1.8</v>
      </c>
      <c r="F127" s="92" t="s">
        <v>27</v>
      </c>
      <c r="G127" s="92" t="str">
        <f>IF([1]!DataIris[[#This Row],[Largo de sépalo]]&lt;=5.5,"CORTO",IF([1]!DataIris[[#This Row],[Largo de sépalo]]&lt;=6.7,"MEDIANO","LARGO"))</f>
        <v>MEDIANO</v>
      </c>
      <c r="H127" s="92" t="str">
        <f>IF([1]!DataIris[[#This Row],[Ancho de sépalo]]&lt;=3.2,"ESTRECHO","ANCHO")</f>
        <v>ESTRECHO</v>
      </c>
      <c r="I127" s="92" t="str">
        <f>IF([1]!DataIris[[#This Row],[Largo de pétalo]]&lt;=3,"CORTO",IF([1]!DataIris[[#This Row],[Largo de pétalo]]&lt;=5,"MEDIANO","LARGO"))</f>
        <v>LARGO</v>
      </c>
      <c r="J127" s="92" t="str">
        <f>IF([1]!DataIris[[#This Row],[Ancho de pétalo]]&lt;=1.4,"ESTRECHO","ANCHO")</f>
        <v>ANCHO</v>
      </c>
      <c r="K127" s="92" t="s">
        <v>25</v>
      </c>
    </row>
    <row r="128" spans="2:11">
      <c r="B128" s="92">
        <v>6.7</v>
      </c>
      <c r="C128" s="92">
        <v>3.3</v>
      </c>
      <c r="D128" s="92">
        <v>5.7</v>
      </c>
      <c r="E128" s="92">
        <v>2.1</v>
      </c>
      <c r="F128" s="92" t="s">
        <v>27</v>
      </c>
      <c r="G128" s="92" t="str">
        <f>IF([1]!DataIris[[#This Row],[Largo de sépalo]]&lt;=5.5,"CORTO",IF([1]!DataIris[[#This Row],[Largo de sépalo]]&lt;=6.7,"MEDIANO","LARGO"))</f>
        <v>MEDIANO</v>
      </c>
      <c r="H128" s="92" t="str">
        <f>IF([1]!DataIris[[#This Row],[Ancho de sépalo]]&lt;=3.2,"ESTRECHO","ANCHO")</f>
        <v>ANCHO</v>
      </c>
      <c r="I128" s="92" t="str">
        <f>IF([1]!DataIris[[#This Row],[Largo de pétalo]]&lt;=3,"CORTO",IF([1]!DataIris[[#This Row],[Largo de pétalo]]&lt;=5,"MEDIANO","LARGO"))</f>
        <v>LARGO</v>
      </c>
      <c r="J128" s="92" t="str">
        <f>IF([1]!DataIris[[#This Row],[Ancho de pétalo]]&lt;=1.4,"ESTRECHO","ANCHO")</f>
        <v>ANCHO</v>
      </c>
      <c r="K128" s="92" t="s">
        <v>25</v>
      </c>
    </row>
    <row r="129" spans="2:11">
      <c r="B129" s="92">
        <v>6.7</v>
      </c>
      <c r="C129" s="92">
        <v>3</v>
      </c>
      <c r="D129" s="92">
        <v>5.2</v>
      </c>
      <c r="E129" s="92">
        <v>2.2999999999999998</v>
      </c>
      <c r="F129" s="92" t="s">
        <v>27</v>
      </c>
      <c r="G129" s="92" t="str">
        <f>IF([1]!DataIris[[#This Row],[Largo de sépalo]]&lt;=5.5,"CORTO",IF([1]!DataIris[[#This Row],[Largo de sépalo]]&lt;=6.7,"MEDIANO","LARGO"))</f>
        <v>MEDIANO</v>
      </c>
      <c r="H129" s="92" t="str">
        <f>IF([1]!DataIris[[#This Row],[Ancho de sépalo]]&lt;=3.2,"ESTRECHO","ANCHO")</f>
        <v>ESTRECHO</v>
      </c>
      <c r="I129" s="92" t="str">
        <f>IF([1]!DataIris[[#This Row],[Largo de pétalo]]&lt;=3,"CORTO",IF([1]!DataIris[[#This Row],[Largo de pétalo]]&lt;=5,"MEDIANO","LARGO"))</f>
        <v>LARGO</v>
      </c>
      <c r="J129" s="92" t="str">
        <f>IF([1]!DataIris[[#This Row],[Ancho de pétalo]]&lt;=1.4,"ESTRECHO","ANCHO")</f>
        <v>ANCHO</v>
      </c>
      <c r="K129" s="92" t="s">
        <v>25</v>
      </c>
    </row>
    <row r="130" spans="2:11">
      <c r="B130" s="92">
        <v>6.7</v>
      </c>
      <c r="C130" s="92">
        <v>3.1</v>
      </c>
      <c r="D130" s="92">
        <v>5.6</v>
      </c>
      <c r="E130" s="92">
        <v>2.4</v>
      </c>
      <c r="F130" s="92" t="s">
        <v>27</v>
      </c>
      <c r="G130" s="92" t="str">
        <f>IF([1]!DataIris[[#This Row],[Largo de sépalo]]&lt;=5.5,"CORTO",IF([1]!DataIris[[#This Row],[Largo de sépalo]]&lt;=6.7,"MEDIANO","LARGO"))</f>
        <v>MEDIANO</v>
      </c>
      <c r="H130" s="92" t="str">
        <f>IF([1]!DataIris[[#This Row],[Ancho de sépalo]]&lt;=3.2,"ESTRECHO","ANCHO")</f>
        <v>ESTRECHO</v>
      </c>
      <c r="I130" s="92" t="str">
        <f>IF([1]!DataIris[[#This Row],[Largo de pétalo]]&lt;=3,"CORTO",IF([1]!DataIris[[#This Row],[Largo de pétalo]]&lt;=5,"MEDIANO","LARGO"))</f>
        <v>LARGO</v>
      </c>
      <c r="J130" s="92" t="str">
        <f>IF([1]!DataIris[[#This Row],[Ancho de pétalo]]&lt;=1.4,"ESTRECHO","ANCHO")</f>
        <v>ANCHO</v>
      </c>
      <c r="K130" s="92" t="s">
        <v>25</v>
      </c>
    </row>
    <row r="131" spans="2:11">
      <c r="B131" s="92">
        <v>6.7</v>
      </c>
      <c r="C131" s="92">
        <v>3.3</v>
      </c>
      <c r="D131" s="92">
        <v>5.7</v>
      </c>
      <c r="E131" s="92">
        <v>2.5</v>
      </c>
      <c r="F131" s="92" t="s">
        <v>27</v>
      </c>
      <c r="G131" s="92" t="str">
        <f>IF([1]!DataIris[[#This Row],[Largo de sépalo]]&lt;=5.5,"CORTO",IF([1]!DataIris[[#This Row],[Largo de sépalo]]&lt;=6.7,"MEDIANO","LARGO"))</f>
        <v>MEDIANO</v>
      </c>
      <c r="H131" s="92" t="str">
        <f>IF([1]!DataIris[[#This Row],[Ancho de sépalo]]&lt;=3.2,"ESTRECHO","ANCHO")</f>
        <v>ANCHO</v>
      </c>
      <c r="I131" s="92" t="str">
        <f>IF([1]!DataIris[[#This Row],[Largo de pétalo]]&lt;=3,"CORTO",IF([1]!DataIris[[#This Row],[Largo de pétalo]]&lt;=5,"MEDIANO","LARGO"))</f>
        <v>LARGO</v>
      </c>
      <c r="J131" s="92" t="str">
        <f>IF([1]!DataIris[[#This Row],[Ancho de pétalo]]&lt;=1.4,"ESTRECHO","ANCHO")</f>
        <v>ANCHO</v>
      </c>
      <c r="K131" s="92" t="s">
        <v>26</v>
      </c>
    </row>
    <row r="132" spans="2:11">
      <c r="B132" s="92">
        <v>6.8</v>
      </c>
      <c r="C132" s="92">
        <v>2.8</v>
      </c>
      <c r="D132" s="92">
        <v>4.8</v>
      </c>
      <c r="E132" s="92">
        <v>1.4</v>
      </c>
      <c r="F132" s="92" t="s">
        <v>26</v>
      </c>
      <c r="G132" s="92" t="str">
        <f>IF([1]!DataIris[[#This Row],[Largo de sépalo]]&lt;=5.5,"CORTO",IF([1]!DataIris[[#This Row],[Largo de sépalo]]&lt;=6.7,"MEDIANO","LARGO"))</f>
        <v>LARGO</v>
      </c>
      <c r="H132" s="92" t="str">
        <f>IF([1]!DataIris[[#This Row],[Ancho de sépalo]]&lt;=3.2,"ESTRECHO","ANCHO")</f>
        <v>ESTRECHO</v>
      </c>
      <c r="I132" s="92" t="str">
        <f>IF([1]!DataIris[[#This Row],[Largo de pétalo]]&lt;=3,"CORTO",IF([1]!DataIris[[#This Row],[Largo de pétalo]]&lt;=5,"MEDIANO","LARGO"))</f>
        <v>MEDIANO</v>
      </c>
      <c r="J132" s="92" t="str">
        <f>IF([1]!DataIris[[#This Row],[Ancho de pétalo]]&lt;=1.4,"ESTRECHO","ANCHO")</f>
        <v>ESTRECHO</v>
      </c>
      <c r="K132" s="92" t="s">
        <v>25</v>
      </c>
    </row>
    <row r="133" spans="2:11">
      <c r="B133" s="92">
        <v>6.8</v>
      </c>
      <c r="C133" s="92">
        <v>3</v>
      </c>
      <c r="D133" s="92">
        <v>5.5</v>
      </c>
      <c r="E133" s="92">
        <v>2.1</v>
      </c>
      <c r="F133" s="92" t="s">
        <v>27</v>
      </c>
      <c r="G133" s="92" t="str">
        <f>IF([1]!DataIris[[#This Row],[Largo de sépalo]]&lt;=5.5,"CORTO",IF([1]!DataIris[[#This Row],[Largo de sépalo]]&lt;=6.7,"MEDIANO","LARGO"))</f>
        <v>LARGO</v>
      </c>
      <c r="H133" s="92" t="str">
        <f>IF([1]!DataIris[[#This Row],[Ancho de sépalo]]&lt;=3.2,"ESTRECHO","ANCHO")</f>
        <v>ESTRECHO</v>
      </c>
      <c r="I133" s="92" t="str">
        <f>IF([1]!DataIris[[#This Row],[Largo de pétalo]]&lt;=3,"CORTO",IF([1]!DataIris[[#This Row],[Largo de pétalo]]&lt;=5,"MEDIANO","LARGO"))</f>
        <v>LARGO</v>
      </c>
      <c r="J133" s="92" t="str">
        <f>IF([1]!DataIris[[#This Row],[Ancho de pétalo]]&lt;=1.4,"ESTRECHO","ANCHO")</f>
        <v>ANCHO</v>
      </c>
      <c r="K133" s="92" t="s">
        <v>25</v>
      </c>
    </row>
    <row r="134" spans="2:11">
      <c r="B134" s="92">
        <v>6.8</v>
      </c>
      <c r="C134" s="92">
        <v>3.2</v>
      </c>
      <c r="D134" s="92">
        <v>5.9</v>
      </c>
      <c r="E134" s="92">
        <v>2.2999999999999998</v>
      </c>
      <c r="F134" s="92" t="s">
        <v>27</v>
      </c>
      <c r="G134" s="92" t="str">
        <f>IF([1]!DataIris[[#This Row],[Largo de sépalo]]&lt;=5.5,"CORTO",IF([1]!DataIris[[#This Row],[Largo de sépalo]]&lt;=6.7,"MEDIANO","LARGO"))</f>
        <v>LARGO</v>
      </c>
      <c r="H134" s="92" t="str">
        <f>IF([1]!DataIris[[#This Row],[Ancho de sépalo]]&lt;=3.2,"ESTRECHO","ANCHO")</f>
        <v>ESTRECHO</v>
      </c>
      <c r="I134" s="92" t="str">
        <f>IF([1]!DataIris[[#This Row],[Largo de pétalo]]&lt;=3,"CORTO",IF([1]!DataIris[[#This Row],[Largo de pétalo]]&lt;=5,"MEDIANO","LARGO"))</f>
        <v>LARGO</v>
      </c>
      <c r="J134" s="92" t="str">
        <f>IF([1]!DataIris[[#This Row],[Ancho de pétalo]]&lt;=1.4,"ESTRECHO","ANCHO")</f>
        <v>ANCHO</v>
      </c>
      <c r="K134" s="92" t="s">
        <v>25</v>
      </c>
    </row>
    <row r="135" spans="2:11">
      <c r="B135" s="92">
        <v>6.9</v>
      </c>
      <c r="C135" s="92">
        <v>3.1</v>
      </c>
      <c r="D135" s="92">
        <v>4.9000000000000004</v>
      </c>
      <c r="E135" s="92">
        <v>1.5</v>
      </c>
      <c r="F135" s="92" t="s">
        <v>26</v>
      </c>
      <c r="G135" s="92" t="str">
        <f>IF([1]!DataIris[[#This Row],[Largo de sépalo]]&lt;=5.5,"CORTO",IF([1]!DataIris[[#This Row],[Largo de sépalo]]&lt;=6.7,"MEDIANO","LARGO"))</f>
        <v>LARGO</v>
      </c>
      <c r="H135" s="92" t="str">
        <f>IF([1]!DataIris[[#This Row],[Ancho de sépalo]]&lt;=3.2,"ESTRECHO","ANCHO")</f>
        <v>ESTRECHO</v>
      </c>
      <c r="I135" s="92" t="str">
        <f>IF([1]!DataIris[[#This Row],[Largo de pétalo]]&lt;=3,"CORTO",IF([1]!DataIris[[#This Row],[Largo de pétalo]]&lt;=5,"MEDIANO","LARGO"))</f>
        <v>MEDIANO</v>
      </c>
      <c r="J135" s="92" t="str">
        <f>IF([1]!DataIris[[#This Row],[Ancho de pétalo]]&lt;=1.4,"ESTRECHO","ANCHO")</f>
        <v>ANCHO</v>
      </c>
      <c r="K135" s="92" t="s">
        <v>25</v>
      </c>
    </row>
    <row r="136" spans="2:11">
      <c r="B136" s="92">
        <v>6.9</v>
      </c>
      <c r="C136" s="92">
        <v>3.1</v>
      </c>
      <c r="D136" s="92">
        <v>5.4</v>
      </c>
      <c r="E136" s="92">
        <v>2.1</v>
      </c>
      <c r="F136" s="92" t="s">
        <v>27</v>
      </c>
      <c r="G136" s="92" t="str">
        <f>IF([1]!DataIris[[#This Row],[Largo de sépalo]]&lt;=5.5,"CORTO",IF([1]!DataIris[[#This Row],[Largo de sépalo]]&lt;=6.7,"MEDIANO","LARGO"))</f>
        <v>LARGO</v>
      </c>
      <c r="H136" s="92" t="str">
        <f>IF([1]!DataIris[[#This Row],[Ancho de sépalo]]&lt;=3.2,"ESTRECHO","ANCHO")</f>
        <v>ESTRECHO</v>
      </c>
      <c r="I136" s="92" t="str">
        <f>IF([1]!DataIris[[#This Row],[Largo de pétalo]]&lt;=3,"CORTO",IF([1]!DataIris[[#This Row],[Largo de pétalo]]&lt;=5,"MEDIANO","LARGO"))</f>
        <v>LARGO</v>
      </c>
      <c r="J136" s="92" t="str">
        <f>IF([1]!DataIris[[#This Row],[Ancho de pétalo]]&lt;=1.4,"ESTRECHO","ANCHO")</f>
        <v>ANCHO</v>
      </c>
      <c r="K136" s="92" t="s">
        <v>26</v>
      </c>
    </row>
    <row r="137" spans="2:11">
      <c r="B137" s="92">
        <v>6.9</v>
      </c>
      <c r="C137" s="92">
        <v>3.1</v>
      </c>
      <c r="D137" s="92">
        <v>5.0999999999999996</v>
      </c>
      <c r="E137" s="92">
        <v>2.2999999999999998</v>
      </c>
      <c r="F137" s="92" t="s">
        <v>27</v>
      </c>
      <c r="G137" s="92" t="str">
        <f>IF([1]!DataIris[[#This Row],[Largo de sépalo]]&lt;=5.5,"CORTO",IF([1]!DataIris[[#This Row],[Largo de sépalo]]&lt;=6.7,"MEDIANO","LARGO"))</f>
        <v>LARGO</v>
      </c>
      <c r="H137" s="92" t="str">
        <f>IF([1]!DataIris[[#This Row],[Ancho de sépalo]]&lt;=3.2,"ESTRECHO","ANCHO")</f>
        <v>ESTRECHO</v>
      </c>
      <c r="I137" s="92" t="str">
        <f>IF([1]!DataIris[[#This Row],[Largo de pétalo]]&lt;=3,"CORTO",IF([1]!DataIris[[#This Row],[Largo de pétalo]]&lt;=5,"MEDIANO","LARGO"))</f>
        <v>LARGO</v>
      </c>
      <c r="J137" s="92" t="str">
        <f>IF([1]!DataIris[[#This Row],[Ancho de pétalo]]&lt;=1.4,"ESTRECHO","ANCHO")</f>
        <v>ANCHO</v>
      </c>
      <c r="K137" s="92" t="s">
        <v>25</v>
      </c>
    </row>
    <row r="138" spans="2:11">
      <c r="B138" s="92">
        <v>6.9</v>
      </c>
      <c r="C138" s="92">
        <v>3.2</v>
      </c>
      <c r="D138" s="92">
        <v>5.7</v>
      </c>
      <c r="E138" s="92">
        <v>2.2999999999999998</v>
      </c>
      <c r="F138" s="92" t="s">
        <v>27</v>
      </c>
      <c r="G138" s="92" t="str">
        <f>IF([1]!DataIris[[#This Row],[Largo de sépalo]]&lt;=5.5,"CORTO",IF([1]!DataIris[[#This Row],[Largo de sépalo]]&lt;=6.7,"MEDIANO","LARGO"))</f>
        <v>LARGO</v>
      </c>
      <c r="H138" s="92" t="str">
        <f>IF([1]!DataIris[[#This Row],[Ancho de sépalo]]&lt;=3.2,"ESTRECHO","ANCHO")</f>
        <v>ESTRECHO</v>
      </c>
      <c r="I138" s="92" t="str">
        <f>IF([1]!DataIris[[#This Row],[Largo de pétalo]]&lt;=3,"CORTO",IF([1]!DataIris[[#This Row],[Largo de pétalo]]&lt;=5,"MEDIANO","LARGO"))</f>
        <v>LARGO</v>
      </c>
      <c r="J138" s="92" t="str">
        <f>IF([1]!DataIris[[#This Row],[Ancho de pétalo]]&lt;=1.4,"ESTRECHO","ANCHO")</f>
        <v>ANCHO</v>
      </c>
      <c r="K138" s="92" t="s">
        <v>26</v>
      </c>
    </row>
    <row r="139" spans="2:11">
      <c r="B139" s="92">
        <v>7</v>
      </c>
      <c r="C139" s="92">
        <v>3.2</v>
      </c>
      <c r="D139" s="92">
        <v>4.7</v>
      </c>
      <c r="E139" s="92">
        <v>1.4</v>
      </c>
      <c r="F139" s="92" t="s">
        <v>26</v>
      </c>
      <c r="G139" s="92" t="str">
        <f>IF([1]!DataIris[[#This Row],[Largo de sépalo]]&lt;=5.5,"CORTO",IF([1]!DataIris[[#This Row],[Largo de sépalo]]&lt;=6.7,"MEDIANO","LARGO"))</f>
        <v>LARGO</v>
      </c>
      <c r="H139" s="92" t="str">
        <f>IF([1]!DataIris[[#This Row],[Ancho de sépalo]]&lt;=3.2,"ESTRECHO","ANCHO")</f>
        <v>ESTRECHO</v>
      </c>
      <c r="I139" s="92" t="str">
        <f>IF([1]!DataIris[[#This Row],[Largo de pétalo]]&lt;=3,"CORTO",IF([1]!DataIris[[#This Row],[Largo de pétalo]]&lt;=5,"MEDIANO","LARGO"))</f>
        <v>MEDIANO</v>
      </c>
      <c r="J139" s="92" t="str">
        <f>IF([1]!DataIris[[#This Row],[Ancho de pétalo]]&lt;=1.4,"ESTRECHO","ANCHO")</f>
        <v>ESTRECHO</v>
      </c>
      <c r="K139" s="92" t="s">
        <v>26</v>
      </c>
    </row>
    <row r="140" spans="2:11">
      <c r="B140" s="92">
        <v>7.1</v>
      </c>
      <c r="C140" s="92">
        <v>3</v>
      </c>
      <c r="D140" s="92">
        <v>5.9</v>
      </c>
      <c r="E140" s="92">
        <v>2.1</v>
      </c>
      <c r="F140" s="92" t="s">
        <v>27</v>
      </c>
      <c r="G140" s="92" t="str">
        <f>IF([1]!DataIris[[#This Row],[Largo de sépalo]]&lt;=5.5,"CORTO",IF([1]!DataIris[[#This Row],[Largo de sépalo]]&lt;=6.7,"MEDIANO","LARGO"))</f>
        <v>LARGO</v>
      </c>
      <c r="H140" s="92" t="str">
        <f>IF([1]!DataIris[[#This Row],[Ancho de sépalo]]&lt;=3.2,"ESTRECHO","ANCHO")</f>
        <v>ESTRECHO</v>
      </c>
      <c r="I140" s="92" t="str">
        <f>IF([1]!DataIris[[#This Row],[Largo de pétalo]]&lt;=3,"CORTO",IF([1]!DataIris[[#This Row],[Largo de pétalo]]&lt;=5,"MEDIANO","LARGO"))</f>
        <v>LARGO</v>
      </c>
      <c r="J140" s="92" t="str">
        <f>IF([1]!DataIris[[#This Row],[Ancho de pétalo]]&lt;=1.4,"ESTRECHO","ANCHO")</f>
        <v>ANCHO</v>
      </c>
      <c r="K140" s="92" t="s">
        <v>26</v>
      </c>
    </row>
    <row r="141" spans="2:11">
      <c r="B141" s="92">
        <v>7.2</v>
      </c>
      <c r="C141" s="92">
        <v>3</v>
      </c>
      <c r="D141" s="92">
        <v>5.8</v>
      </c>
      <c r="E141" s="92">
        <v>1.6</v>
      </c>
      <c r="F141" s="92" t="s">
        <v>27</v>
      </c>
      <c r="G141" s="92" t="str">
        <f>IF([1]!DataIris[[#This Row],[Largo de sépalo]]&lt;=5.5,"CORTO",IF([1]!DataIris[[#This Row],[Largo de sépalo]]&lt;=6.7,"MEDIANO","LARGO"))</f>
        <v>LARGO</v>
      </c>
      <c r="H141" s="92" t="str">
        <f>IF([1]!DataIris[[#This Row],[Ancho de sépalo]]&lt;=3.2,"ESTRECHO","ANCHO")</f>
        <v>ESTRECHO</v>
      </c>
      <c r="I141" s="92" t="str">
        <f>IF([1]!DataIris[[#This Row],[Largo de pétalo]]&lt;=3,"CORTO",IF([1]!DataIris[[#This Row],[Largo de pétalo]]&lt;=5,"MEDIANO","LARGO"))</f>
        <v>LARGO</v>
      </c>
      <c r="J141" s="92" t="str">
        <f>IF([1]!DataIris[[#This Row],[Ancho de pétalo]]&lt;=1.4,"ESTRECHO","ANCHO")</f>
        <v>ANCHO</v>
      </c>
      <c r="K141" s="92" t="s">
        <v>26</v>
      </c>
    </row>
    <row r="142" spans="2:11">
      <c r="B142" s="92">
        <v>7.2</v>
      </c>
      <c r="C142" s="92">
        <v>3.2</v>
      </c>
      <c r="D142" s="92">
        <v>6</v>
      </c>
      <c r="E142" s="92">
        <v>1.8</v>
      </c>
      <c r="F142" s="92" t="s">
        <v>27</v>
      </c>
      <c r="G142" s="92" t="str">
        <f>IF([1]!DataIris[[#This Row],[Largo de sépalo]]&lt;=5.5,"CORTO",IF([1]!DataIris[[#This Row],[Largo de sépalo]]&lt;=6.7,"MEDIANO","LARGO"))</f>
        <v>LARGO</v>
      </c>
      <c r="H142" s="92" t="str">
        <f>IF([1]!DataIris[[#This Row],[Ancho de sépalo]]&lt;=3.2,"ESTRECHO","ANCHO")</f>
        <v>ESTRECHO</v>
      </c>
      <c r="I142" s="92" t="str">
        <f>IF([1]!DataIris[[#This Row],[Largo de pétalo]]&lt;=3,"CORTO",IF([1]!DataIris[[#This Row],[Largo de pétalo]]&lt;=5,"MEDIANO","LARGO"))</f>
        <v>LARGO</v>
      </c>
      <c r="J142" s="92" t="str">
        <f>IF([1]!DataIris[[#This Row],[Ancho de pétalo]]&lt;=1.4,"ESTRECHO","ANCHO")</f>
        <v>ANCHO</v>
      </c>
      <c r="K142" s="92" t="s">
        <v>26</v>
      </c>
    </row>
    <row r="143" spans="2:11">
      <c r="B143" s="92">
        <v>7.2</v>
      </c>
      <c r="C143" s="92">
        <v>3.6</v>
      </c>
      <c r="D143" s="92">
        <v>6.1</v>
      </c>
      <c r="E143" s="92">
        <v>2.5</v>
      </c>
      <c r="F143" s="92" t="s">
        <v>27</v>
      </c>
      <c r="G143" s="92" t="str">
        <f>IF([1]!DataIris[[#This Row],[Largo de sépalo]]&lt;=5.5,"CORTO",IF([1]!DataIris[[#This Row],[Largo de sépalo]]&lt;=6.7,"MEDIANO","LARGO"))</f>
        <v>LARGO</v>
      </c>
      <c r="H143" s="92" t="str">
        <f>IF([1]!DataIris[[#This Row],[Ancho de sépalo]]&lt;=3.2,"ESTRECHO","ANCHO")</f>
        <v>ANCHO</v>
      </c>
      <c r="I143" s="92" t="str">
        <f>IF([1]!DataIris[[#This Row],[Largo de pétalo]]&lt;=3,"CORTO",IF([1]!DataIris[[#This Row],[Largo de pétalo]]&lt;=5,"MEDIANO","LARGO"))</f>
        <v>LARGO</v>
      </c>
      <c r="J143" s="92" t="str">
        <f>IF([1]!DataIris[[#This Row],[Ancho de pétalo]]&lt;=1.4,"ESTRECHO","ANCHO")</f>
        <v>ANCHO</v>
      </c>
      <c r="K143" s="92" t="s">
        <v>27</v>
      </c>
    </row>
    <row r="144" spans="2:11">
      <c r="B144" s="92">
        <v>7.3</v>
      </c>
      <c r="C144" s="92">
        <v>2.9</v>
      </c>
      <c r="D144" s="92">
        <v>6.3</v>
      </c>
      <c r="E144" s="92">
        <v>1.8</v>
      </c>
      <c r="F144" s="92" t="s">
        <v>27</v>
      </c>
      <c r="G144" s="92" t="str">
        <f>IF([1]!DataIris[[#This Row],[Largo de sépalo]]&lt;=5.5,"CORTO",IF([1]!DataIris[[#This Row],[Largo de sépalo]]&lt;=6.7,"MEDIANO","LARGO"))</f>
        <v>LARGO</v>
      </c>
      <c r="H144" s="92" t="str">
        <f>IF([1]!DataIris[[#This Row],[Ancho de sépalo]]&lt;=3.2,"ESTRECHO","ANCHO")</f>
        <v>ESTRECHO</v>
      </c>
      <c r="I144" s="92" t="str">
        <f>IF([1]!DataIris[[#This Row],[Largo de pétalo]]&lt;=3,"CORTO",IF([1]!DataIris[[#This Row],[Largo de pétalo]]&lt;=5,"MEDIANO","LARGO"))</f>
        <v>LARGO</v>
      </c>
      <c r="J144" s="92" t="str">
        <f>IF([1]!DataIris[[#This Row],[Ancho de pétalo]]&lt;=1.4,"ESTRECHO","ANCHO")</f>
        <v>ANCHO</v>
      </c>
      <c r="K144" s="92" t="s">
        <v>27</v>
      </c>
    </row>
    <row r="145" spans="2:30">
      <c r="B145" s="92">
        <v>7.4</v>
      </c>
      <c r="C145" s="92">
        <v>2.8</v>
      </c>
      <c r="D145" s="92">
        <v>6.1</v>
      </c>
      <c r="E145" s="92">
        <v>1.9</v>
      </c>
      <c r="F145" s="92" t="s">
        <v>27</v>
      </c>
      <c r="G145" s="92" t="str">
        <f>IF([1]!DataIris[[#This Row],[Largo de sépalo]]&lt;=5.5,"CORTO",IF([1]!DataIris[[#This Row],[Largo de sépalo]]&lt;=6.7,"MEDIANO","LARGO"))</f>
        <v>LARGO</v>
      </c>
      <c r="H145" s="92" t="str">
        <f>IF([1]!DataIris[[#This Row],[Ancho de sépalo]]&lt;=3.2,"ESTRECHO","ANCHO")</f>
        <v>ESTRECHO</v>
      </c>
      <c r="I145" s="92" t="str">
        <f>IF([1]!DataIris[[#This Row],[Largo de pétalo]]&lt;=3,"CORTO",IF([1]!DataIris[[#This Row],[Largo de pétalo]]&lt;=5,"MEDIANO","LARGO"))</f>
        <v>LARGO</v>
      </c>
      <c r="J145" s="92" t="str">
        <f>IF([1]!DataIris[[#This Row],[Ancho de pétalo]]&lt;=1.4,"ESTRECHO","ANCHO")</f>
        <v>ANCHO</v>
      </c>
      <c r="K145" s="92" t="s">
        <v>25</v>
      </c>
    </row>
    <row r="146" spans="2:30">
      <c r="B146" s="92">
        <v>7.6</v>
      </c>
      <c r="C146" s="92">
        <v>3</v>
      </c>
      <c r="D146" s="92">
        <v>6.6</v>
      </c>
      <c r="E146" s="92">
        <v>2.1</v>
      </c>
      <c r="F146" s="92" t="s">
        <v>27</v>
      </c>
      <c r="G146" s="92" t="str">
        <f>IF([1]!DataIris[[#This Row],[Largo de sépalo]]&lt;=5.5,"CORTO",IF([1]!DataIris[[#This Row],[Largo de sépalo]]&lt;=6.7,"MEDIANO","LARGO"))</f>
        <v>LARGO</v>
      </c>
      <c r="H146" s="92" t="str">
        <f>IF([1]!DataIris[[#This Row],[Ancho de sépalo]]&lt;=3.2,"ESTRECHO","ANCHO")</f>
        <v>ESTRECHO</v>
      </c>
      <c r="I146" s="92" t="str">
        <f>IF([1]!DataIris[[#This Row],[Largo de pétalo]]&lt;=3,"CORTO",IF([1]!DataIris[[#This Row],[Largo de pétalo]]&lt;=5,"MEDIANO","LARGO"))</f>
        <v>LARGO</v>
      </c>
      <c r="J146" s="92" t="str">
        <f>IF([1]!DataIris[[#This Row],[Ancho de pétalo]]&lt;=1.4,"ESTRECHO","ANCHO")</f>
        <v>ANCHO</v>
      </c>
      <c r="K146" s="92" t="s">
        <v>26</v>
      </c>
    </row>
    <row r="147" spans="2:30">
      <c r="B147" s="92">
        <v>7.7</v>
      </c>
      <c r="C147" s="92">
        <v>2.8</v>
      </c>
      <c r="D147" s="92">
        <v>6.7</v>
      </c>
      <c r="E147" s="92">
        <v>2</v>
      </c>
      <c r="F147" s="92" t="s">
        <v>27</v>
      </c>
      <c r="G147" s="92" t="str">
        <f>IF([1]!DataIris[[#This Row],[Largo de sépalo]]&lt;=5.5,"CORTO",IF([1]!DataIris[[#This Row],[Largo de sépalo]]&lt;=6.7,"MEDIANO","LARGO"))</f>
        <v>LARGO</v>
      </c>
      <c r="H147" s="92" t="str">
        <f>IF([1]!DataIris[[#This Row],[Ancho de sépalo]]&lt;=3.2,"ESTRECHO","ANCHO")</f>
        <v>ESTRECHO</v>
      </c>
      <c r="I147" s="92" t="str">
        <f>IF([1]!DataIris[[#This Row],[Largo de pétalo]]&lt;=3,"CORTO",IF([1]!DataIris[[#This Row],[Largo de pétalo]]&lt;=5,"MEDIANO","LARGO"))</f>
        <v>LARGO</v>
      </c>
      <c r="J147" s="92" t="str">
        <f>IF([1]!DataIris[[#This Row],[Ancho de pétalo]]&lt;=1.4,"ESTRECHO","ANCHO")</f>
        <v>ANCHO</v>
      </c>
      <c r="K147" s="92" t="s">
        <v>26</v>
      </c>
    </row>
    <row r="148" spans="2:30">
      <c r="B148" s="92">
        <v>7.7</v>
      </c>
      <c r="C148" s="92">
        <v>3.8</v>
      </c>
      <c r="D148" s="92">
        <v>6.7</v>
      </c>
      <c r="E148" s="92">
        <v>2.2000000000000002</v>
      </c>
      <c r="F148" s="92" t="s">
        <v>27</v>
      </c>
      <c r="G148" s="92" t="str">
        <f>IF([1]!DataIris[[#This Row],[Largo de sépalo]]&lt;=5.5,"CORTO",IF([1]!DataIris[[#This Row],[Largo de sépalo]]&lt;=6.7,"MEDIANO","LARGO"))</f>
        <v>LARGO</v>
      </c>
      <c r="H148" s="92" t="str">
        <f>IF([1]!DataIris[[#This Row],[Ancho de sépalo]]&lt;=3.2,"ESTRECHO","ANCHO")</f>
        <v>ANCHO</v>
      </c>
      <c r="I148" s="92" t="str">
        <f>IF([1]!DataIris[[#This Row],[Largo de pétalo]]&lt;=3,"CORTO",IF([1]!DataIris[[#This Row],[Largo de pétalo]]&lt;=5,"MEDIANO","LARGO"))</f>
        <v>LARGO</v>
      </c>
      <c r="J148" s="92" t="str">
        <f>IF([1]!DataIris[[#This Row],[Ancho de pétalo]]&lt;=1.4,"ESTRECHO","ANCHO")</f>
        <v>ANCHO</v>
      </c>
      <c r="K148" s="92" t="s">
        <v>27</v>
      </c>
    </row>
    <row r="149" spans="2:30">
      <c r="B149" s="92">
        <v>7.7</v>
      </c>
      <c r="C149" s="92">
        <v>3</v>
      </c>
      <c r="D149" s="92">
        <v>6.1</v>
      </c>
      <c r="E149" s="92">
        <v>2.2999999999999998</v>
      </c>
      <c r="F149" s="92" t="s">
        <v>27</v>
      </c>
      <c r="G149" s="92" t="str">
        <f>IF([1]!DataIris[[#This Row],[Largo de sépalo]]&lt;=5.5,"CORTO",IF([1]!DataIris[[#This Row],[Largo de sépalo]]&lt;=6.7,"MEDIANO","LARGO"))</f>
        <v>LARGO</v>
      </c>
      <c r="H149" s="92" t="str">
        <f>IF([1]!DataIris[[#This Row],[Ancho de sépalo]]&lt;=3.2,"ESTRECHO","ANCHO")</f>
        <v>ESTRECHO</v>
      </c>
      <c r="I149" s="92" t="str">
        <f>IF([1]!DataIris[[#This Row],[Largo de pétalo]]&lt;=3,"CORTO",IF([1]!DataIris[[#This Row],[Largo de pétalo]]&lt;=5,"MEDIANO","LARGO"))</f>
        <v>LARGO</v>
      </c>
      <c r="J149" s="92" t="str">
        <f>IF([1]!DataIris[[#This Row],[Ancho de pétalo]]&lt;=1.4,"ESTRECHO","ANCHO")</f>
        <v>ANCHO</v>
      </c>
      <c r="K149" s="92" t="s">
        <v>27</v>
      </c>
    </row>
    <row r="150" spans="2:30">
      <c r="B150" s="92">
        <v>7.7</v>
      </c>
      <c r="C150" s="92">
        <v>2.6</v>
      </c>
      <c r="D150" s="92">
        <v>6.9</v>
      </c>
      <c r="E150" s="92">
        <v>2.2999999999999998</v>
      </c>
      <c r="F150" s="92" t="s">
        <v>27</v>
      </c>
      <c r="G150" s="92" t="str">
        <f>IF([1]!DataIris[[#This Row],[Largo de sépalo]]&lt;=5.5,"CORTO",IF([1]!DataIris[[#This Row],[Largo de sépalo]]&lt;=6.7,"MEDIANO","LARGO"))</f>
        <v>LARGO</v>
      </c>
      <c r="H150" s="92" t="str">
        <f>IF([1]!DataIris[[#This Row],[Ancho de sépalo]]&lt;=3.2,"ESTRECHO","ANCHO")</f>
        <v>ESTRECHO</v>
      </c>
      <c r="I150" s="92" t="str">
        <f>IF([1]!DataIris[[#This Row],[Largo de pétalo]]&lt;=3,"CORTO",IF([1]!DataIris[[#This Row],[Largo de pétalo]]&lt;=5,"MEDIANO","LARGO"))</f>
        <v>LARGO</v>
      </c>
      <c r="J150" s="92" t="str">
        <f>IF([1]!DataIris[[#This Row],[Ancho de pétalo]]&lt;=1.4,"ESTRECHO","ANCHO")</f>
        <v>ANCHO</v>
      </c>
      <c r="K150" s="92" t="s">
        <v>25</v>
      </c>
    </row>
    <row r="151" spans="2:30">
      <c r="B151" s="92">
        <v>7.9</v>
      </c>
      <c r="C151" s="92">
        <v>3.8</v>
      </c>
      <c r="D151" s="92">
        <v>6.4</v>
      </c>
      <c r="E151" s="92">
        <v>2</v>
      </c>
      <c r="F151" s="92" t="s">
        <v>27</v>
      </c>
      <c r="G151" s="92" t="str">
        <f>IF([1]!DataIris[[#This Row],[Largo de sépalo]]&lt;=5.5,"CORTO",IF([1]!DataIris[[#This Row],[Largo de sépalo]]&lt;=6.7,"MEDIANO","LARGO"))</f>
        <v>LARGO</v>
      </c>
      <c r="H151" s="92" t="str">
        <f>IF([1]!DataIris[[#This Row],[Ancho de sépalo]]&lt;=3.2,"ESTRECHO","ANCHO")</f>
        <v>ANCHO</v>
      </c>
      <c r="I151" s="92" t="str">
        <f>IF([1]!DataIris[[#This Row],[Largo de pétalo]]&lt;=3,"CORTO",IF([1]!DataIris[[#This Row],[Largo de pétalo]]&lt;=5,"MEDIANO","LARGO"))</f>
        <v>LARGO</v>
      </c>
      <c r="J151" s="92" t="str">
        <f>IF([1]!DataIris[[#This Row],[Ancho de pétalo]]&lt;=1.4,"ESTRECHO","ANCHO")</f>
        <v>ANCHO</v>
      </c>
      <c r="K151" s="92" t="s">
        <v>26</v>
      </c>
    </row>
    <row r="154" spans="2:30">
      <c r="D154" s="14" t="s">
        <v>15</v>
      </c>
      <c r="E154" s="12">
        <v>1.5840000000000001</v>
      </c>
      <c r="H154" s="15" t="s">
        <v>19</v>
      </c>
      <c r="I154" s="13">
        <v>0.314</v>
      </c>
    </row>
    <row r="155" spans="2:30" s="6" customFormat="1"/>
    <row r="156" spans="2:30">
      <c r="B156" s="24" t="s">
        <v>16</v>
      </c>
      <c r="C156" s="25">
        <v>0.629</v>
      </c>
      <c r="L156" s="24" t="s">
        <v>17</v>
      </c>
      <c r="M156" s="25">
        <v>1.53</v>
      </c>
      <c r="V156" s="24" t="s">
        <v>18</v>
      </c>
      <c r="W156" s="25">
        <v>1.1439999999999999</v>
      </c>
    </row>
    <row r="157" spans="2:30">
      <c r="B157" s="102" t="s">
        <v>28</v>
      </c>
      <c r="C157" s="103" t="s">
        <v>29</v>
      </c>
      <c r="D157" s="103" t="s">
        <v>30</v>
      </c>
      <c r="E157" s="103" t="s">
        <v>31</v>
      </c>
      <c r="F157" s="103" t="s">
        <v>24</v>
      </c>
      <c r="G157" s="103" t="s">
        <v>32</v>
      </c>
      <c r="H157" s="103" t="s">
        <v>33</v>
      </c>
      <c r="I157" s="103" t="s">
        <v>34</v>
      </c>
      <c r="J157" s="104" t="s">
        <v>35</v>
      </c>
      <c r="L157" s="44" t="s">
        <v>28</v>
      </c>
      <c r="M157" s="50" t="s">
        <v>29</v>
      </c>
      <c r="N157" s="50" t="s">
        <v>30</v>
      </c>
      <c r="O157" s="50" t="s">
        <v>31</v>
      </c>
      <c r="P157" s="50" t="s">
        <v>24</v>
      </c>
      <c r="Q157" s="50" t="s">
        <v>32</v>
      </c>
      <c r="R157" s="50" t="s">
        <v>33</v>
      </c>
      <c r="S157" s="50" t="s">
        <v>34</v>
      </c>
      <c r="T157" s="43" t="s">
        <v>35</v>
      </c>
      <c r="V157" s="105" t="s">
        <v>28</v>
      </c>
      <c r="W157" s="106" t="s">
        <v>29</v>
      </c>
      <c r="X157" s="106" t="s">
        <v>30</v>
      </c>
      <c r="Y157" s="106" t="s">
        <v>31</v>
      </c>
      <c r="Z157" s="106" t="s">
        <v>24</v>
      </c>
      <c r="AA157" s="106" t="s">
        <v>32</v>
      </c>
      <c r="AB157" s="106" t="s">
        <v>33</v>
      </c>
      <c r="AC157" s="106" t="s">
        <v>34</v>
      </c>
      <c r="AD157" s="107" t="s">
        <v>35</v>
      </c>
    </row>
    <row r="158" spans="2:30">
      <c r="B158" s="29">
        <v>5</v>
      </c>
      <c r="C158" s="22">
        <v>3.6</v>
      </c>
      <c r="D158" s="22">
        <v>1.4</v>
      </c>
      <c r="E158" s="22">
        <v>0.2</v>
      </c>
      <c r="F158" s="22" t="s">
        <v>0</v>
      </c>
      <c r="G158" s="18" t="s">
        <v>8</v>
      </c>
      <c r="H158" s="51" t="s">
        <v>10</v>
      </c>
      <c r="I158" s="18" t="s">
        <v>8</v>
      </c>
      <c r="J158" s="97" t="s">
        <v>8</v>
      </c>
      <c r="L158" s="93">
        <v>5.0999999999999996</v>
      </c>
      <c r="M158" s="22">
        <v>3.5</v>
      </c>
      <c r="N158" s="22">
        <v>1.4</v>
      </c>
      <c r="O158" s="22">
        <v>0.2</v>
      </c>
      <c r="P158" s="22" t="s">
        <v>0</v>
      </c>
      <c r="Q158" s="18" t="s">
        <v>8</v>
      </c>
      <c r="R158" s="51" t="s">
        <v>9</v>
      </c>
      <c r="S158" s="18" t="s">
        <v>8</v>
      </c>
      <c r="T158" s="97" t="s">
        <v>8</v>
      </c>
      <c r="V158" s="29">
        <v>4.4000000000000004</v>
      </c>
      <c r="W158" s="22">
        <v>2.9</v>
      </c>
      <c r="X158" s="22">
        <v>1.4</v>
      </c>
      <c r="Y158" s="22">
        <v>0.2</v>
      </c>
      <c r="Z158" s="22" t="s">
        <v>0</v>
      </c>
      <c r="AA158" s="18" t="s">
        <v>8</v>
      </c>
      <c r="AB158" s="51" t="s">
        <v>8</v>
      </c>
      <c r="AC158" s="18" t="s">
        <v>8</v>
      </c>
      <c r="AD158" s="97" t="s">
        <v>8</v>
      </c>
    </row>
    <row r="159" spans="2:30">
      <c r="B159" s="31">
        <v>5.4</v>
      </c>
      <c r="C159" s="18">
        <v>3.9</v>
      </c>
      <c r="D159" s="18">
        <v>1.7</v>
      </c>
      <c r="E159" s="18">
        <v>0.4</v>
      </c>
      <c r="F159" s="18" t="s">
        <v>0</v>
      </c>
      <c r="G159" s="18" t="s">
        <v>8</v>
      </c>
      <c r="H159" s="51" t="s">
        <v>10</v>
      </c>
      <c r="I159" s="18" t="s">
        <v>8</v>
      </c>
      <c r="J159" s="97" t="s">
        <v>8</v>
      </c>
      <c r="L159" s="31">
        <v>4.9000000000000004</v>
      </c>
      <c r="M159" s="18">
        <v>3</v>
      </c>
      <c r="N159" s="18">
        <v>1.4</v>
      </c>
      <c r="O159" s="18">
        <v>0.2</v>
      </c>
      <c r="P159" s="18" t="s">
        <v>0</v>
      </c>
      <c r="Q159" s="18" t="s">
        <v>8</v>
      </c>
      <c r="R159" s="51" t="s">
        <v>9</v>
      </c>
      <c r="S159" s="18" t="s">
        <v>8</v>
      </c>
      <c r="T159" s="97" t="s">
        <v>8</v>
      </c>
      <c r="V159" s="31">
        <v>4.5</v>
      </c>
      <c r="W159" s="18">
        <v>2.2999999999999998</v>
      </c>
      <c r="X159" s="18">
        <v>1.3</v>
      </c>
      <c r="Y159" s="18">
        <v>0.3</v>
      </c>
      <c r="Z159" s="18" t="s">
        <v>0</v>
      </c>
      <c r="AA159" s="18" t="s">
        <v>8</v>
      </c>
      <c r="AB159" s="51" t="s">
        <v>8</v>
      </c>
      <c r="AC159" s="18" t="s">
        <v>8</v>
      </c>
      <c r="AD159" s="97" t="s">
        <v>8</v>
      </c>
    </row>
    <row r="160" spans="2:30">
      <c r="B160" s="29">
        <v>5.4</v>
      </c>
      <c r="C160" s="22">
        <v>3.7</v>
      </c>
      <c r="D160" s="22">
        <v>1.5</v>
      </c>
      <c r="E160" s="22">
        <v>0.2</v>
      </c>
      <c r="F160" s="22" t="s">
        <v>0</v>
      </c>
      <c r="G160" s="18" t="s">
        <v>8</v>
      </c>
      <c r="H160" s="51" t="s">
        <v>10</v>
      </c>
      <c r="I160" s="18" t="s">
        <v>8</v>
      </c>
      <c r="J160" s="97" t="s">
        <v>8</v>
      </c>
      <c r="L160" s="29">
        <v>4.7</v>
      </c>
      <c r="M160" s="22">
        <v>3.2</v>
      </c>
      <c r="N160" s="22">
        <v>1.3</v>
      </c>
      <c r="O160" s="22">
        <v>0.2</v>
      </c>
      <c r="P160" s="22" t="s">
        <v>0</v>
      </c>
      <c r="Q160" s="18" t="s">
        <v>8</v>
      </c>
      <c r="R160" s="51" t="s">
        <v>9</v>
      </c>
      <c r="S160" s="18" t="s">
        <v>8</v>
      </c>
      <c r="T160" s="97" t="s">
        <v>8</v>
      </c>
      <c r="V160" s="31">
        <v>5.5</v>
      </c>
      <c r="W160" s="18">
        <v>2.2999999999999998</v>
      </c>
      <c r="X160" s="18">
        <v>4</v>
      </c>
      <c r="Y160" s="18">
        <v>1.3</v>
      </c>
      <c r="Z160" s="18" t="s">
        <v>1</v>
      </c>
      <c r="AA160" s="18" t="s">
        <v>8</v>
      </c>
      <c r="AB160" s="51" t="s">
        <v>8</v>
      </c>
      <c r="AC160" s="18" t="s">
        <v>9</v>
      </c>
      <c r="AD160" s="97" t="s">
        <v>9</v>
      </c>
    </row>
    <row r="161" spans="2:30">
      <c r="B161" s="29">
        <v>5.8</v>
      </c>
      <c r="C161" s="22">
        <v>4</v>
      </c>
      <c r="D161" s="22">
        <v>1.2</v>
      </c>
      <c r="E161" s="22">
        <v>0.2</v>
      </c>
      <c r="F161" s="22" t="s">
        <v>0</v>
      </c>
      <c r="G161" s="18" t="s">
        <v>9</v>
      </c>
      <c r="H161" s="51" t="s">
        <v>10</v>
      </c>
      <c r="I161" s="18" t="s">
        <v>8</v>
      </c>
      <c r="J161" s="97" t="s">
        <v>8</v>
      </c>
      <c r="L161" s="31">
        <v>4.5999999999999996</v>
      </c>
      <c r="M161" s="18">
        <v>3.1</v>
      </c>
      <c r="N161" s="18">
        <v>1.5</v>
      </c>
      <c r="O161" s="18">
        <v>0.2</v>
      </c>
      <c r="P161" s="18" t="s">
        <v>0</v>
      </c>
      <c r="Q161" s="18" t="s">
        <v>8</v>
      </c>
      <c r="R161" s="51" t="s">
        <v>9</v>
      </c>
      <c r="S161" s="18" t="s">
        <v>8</v>
      </c>
      <c r="T161" s="97" t="s">
        <v>8</v>
      </c>
      <c r="V161" s="29">
        <v>6.5</v>
      </c>
      <c r="W161" s="22">
        <v>2.8</v>
      </c>
      <c r="X161" s="22">
        <v>4.5999999999999996</v>
      </c>
      <c r="Y161" s="22">
        <v>1.5</v>
      </c>
      <c r="Z161" s="22" t="s">
        <v>1</v>
      </c>
      <c r="AA161" s="18" t="s">
        <v>9</v>
      </c>
      <c r="AB161" s="51" t="s">
        <v>8</v>
      </c>
      <c r="AC161" s="18" t="s">
        <v>9</v>
      </c>
      <c r="AD161" s="97" t="s">
        <v>9</v>
      </c>
    </row>
    <row r="162" spans="2:30">
      <c r="B162" s="31">
        <v>5.7</v>
      </c>
      <c r="C162" s="18">
        <v>4.4000000000000004</v>
      </c>
      <c r="D162" s="18">
        <v>1.5</v>
      </c>
      <c r="E162" s="18">
        <v>0.4</v>
      </c>
      <c r="F162" s="18" t="s">
        <v>0</v>
      </c>
      <c r="G162" s="18" t="s">
        <v>9</v>
      </c>
      <c r="H162" s="51" t="s">
        <v>10</v>
      </c>
      <c r="I162" s="18" t="s">
        <v>8</v>
      </c>
      <c r="J162" s="97" t="s">
        <v>8</v>
      </c>
      <c r="L162" s="29">
        <v>4.5999999999999996</v>
      </c>
      <c r="M162" s="22">
        <v>3.4</v>
      </c>
      <c r="N162" s="22">
        <v>1.4</v>
      </c>
      <c r="O162" s="22">
        <v>0.3</v>
      </c>
      <c r="P162" s="22" t="s">
        <v>0</v>
      </c>
      <c r="Q162" s="18" t="s">
        <v>8</v>
      </c>
      <c r="R162" s="51" t="s">
        <v>9</v>
      </c>
      <c r="S162" s="18" t="s">
        <v>8</v>
      </c>
      <c r="T162" s="97" t="s">
        <v>8</v>
      </c>
      <c r="V162" s="31">
        <v>5.7</v>
      </c>
      <c r="W162" s="18">
        <v>2.8</v>
      </c>
      <c r="X162" s="18">
        <v>4.5</v>
      </c>
      <c r="Y162" s="18">
        <v>1.3</v>
      </c>
      <c r="Z162" s="18" t="s">
        <v>1</v>
      </c>
      <c r="AA162" s="18" t="s">
        <v>9</v>
      </c>
      <c r="AB162" s="51" t="s">
        <v>8</v>
      </c>
      <c r="AC162" s="18" t="s">
        <v>9</v>
      </c>
      <c r="AD162" s="97" t="s">
        <v>9</v>
      </c>
    </row>
    <row r="163" spans="2:30">
      <c r="B163" s="29">
        <v>5.4</v>
      </c>
      <c r="C163" s="22">
        <v>3.9</v>
      </c>
      <c r="D163" s="22">
        <v>1.3</v>
      </c>
      <c r="E163" s="22">
        <v>0.4</v>
      </c>
      <c r="F163" s="22" t="s">
        <v>0</v>
      </c>
      <c r="G163" s="18" t="s">
        <v>8</v>
      </c>
      <c r="H163" s="51" t="s">
        <v>10</v>
      </c>
      <c r="I163" s="18" t="s">
        <v>8</v>
      </c>
      <c r="J163" s="97" t="s">
        <v>8</v>
      </c>
      <c r="L163" s="31">
        <v>5</v>
      </c>
      <c r="M163" s="18">
        <v>3.4</v>
      </c>
      <c r="N163" s="18">
        <v>1.5</v>
      </c>
      <c r="O163" s="18">
        <v>0.2</v>
      </c>
      <c r="P163" s="18" t="s">
        <v>0</v>
      </c>
      <c r="Q163" s="18" t="s">
        <v>8</v>
      </c>
      <c r="R163" s="51" t="s">
        <v>9</v>
      </c>
      <c r="S163" s="18" t="s">
        <v>8</v>
      </c>
      <c r="T163" s="97" t="s">
        <v>8</v>
      </c>
      <c r="V163" s="31">
        <v>4.9000000000000004</v>
      </c>
      <c r="W163" s="18">
        <v>2.4</v>
      </c>
      <c r="X163" s="18">
        <v>3.3</v>
      </c>
      <c r="Y163" s="18">
        <v>1</v>
      </c>
      <c r="Z163" s="18" t="s">
        <v>1</v>
      </c>
      <c r="AA163" s="18" t="s">
        <v>8</v>
      </c>
      <c r="AB163" s="51" t="s">
        <v>8</v>
      </c>
      <c r="AC163" s="18" t="s">
        <v>9</v>
      </c>
      <c r="AD163" s="97" t="s">
        <v>9</v>
      </c>
    </row>
    <row r="164" spans="2:30">
      <c r="B164" s="29">
        <v>5.7</v>
      </c>
      <c r="C164" s="22">
        <v>3.8</v>
      </c>
      <c r="D164" s="22">
        <v>1.7</v>
      </c>
      <c r="E164" s="22">
        <v>0.3</v>
      </c>
      <c r="F164" s="22" t="s">
        <v>0</v>
      </c>
      <c r="G164" s="18" t="s">
        <v>9</v>
      </c>
      <c r="H164" s="51" t="s">
        <v>10</v>
      </c>
      <c r="I164" s="18" t="s">
        <v>8</v>
      </c>
      <c r="J164" s="97" t="s">
        <v>8</v>
      </c>
      <c r="L164" s="31">
        <v>4.9000000000000004</v>
      </c>
      <c r="M164" s="18">
        <v>3.1</v>
      </c>
      <c r="N164" s="18">
        <v>1.5</v>
      </c>
      <c r="O164" s="18">
        <v>0.1</v>
      </c>
      <c r="P164" s="18" t="s">
        <v>0</v>
      </c>
      <c r="Q164" s="18" t="s">
        <v>8</v>
      </c>
      <c r="R164" s="51" t="s">
        <v>9</v>
      </c>
      <c r="S164" s="18" t="s">
        <v>8</v>
      </c>
      <c r="T164" s="97" t="s">
        <v>8</v>
      </c>
      <c r="V164" s="29">
        <v>6.6</v>
      </c>
      <c r="W164" s="22">
        <v>2.9</v>
      </c>
      <c r="X164" s="22">
        <v>4.5999999999999996</v>
      </c>
      <c r="Y164" s="22">
        <v>1.3</v>
      </c>
      <c r="Z164" s="22" t="s">
        <v>1</v>
      </c>
      <c r="AA164" s="18" t="s">
        <v>10</v>
      </c>
      <c r="AB164" s="51" t="s">
        <v>8</v>
      </c>
      <c r="AC164" s="18" t="s">
        <v>9</v>
      </c>
      <c r="AD164" s="97" t="s">
        <v>9</v>
      </c>
    </row>
    <row r="165" spans="2:30">
      <c r="B165" s="31">
        <v>5.0999999999999996</v>
      </c>
      <c r="C165" s="18">
        <v>3.8</v>
      </c>
      <c r="D165" s="18">
        <v>1.5</v>
      </c>
      <c r="E165" s="18">
        <v>0.3</v>
      </c>
      <c r="F165" s="18" t="s">
        <v>0</v>
      </c>
      <c r="G165" s="18" t="s">
        <v>8</v>
      </c>
      <c r="H165" s="51" t="s">
        <v>10</v>
      </c>
      <c r="I165" s="18" t="s">
        <v>8</v>
      </c>
      <c r="J165" s="97" t="s">
        <v>8</v>
      </c>
      <c r="L165" s="31">
        <v>4.8</v>
      </c>
      <c r="M165" s="18">
        <v>3.4</v>
      </c>
      <c r="N165" s="18">
        <v>1.6</v>
      </c>
      <c r="O165" s="18">
        <v>0.2</v>
      </c>
      <c r="P165" s="18" t="s">
        <v>0</v>
      </c>
      <c r="Q165" s="18" t="s">
        <v>8</v>
      </c>
      <c r="R165" s="51" t="s">
        <v>9</v>
      </c>
      <c r="S165" s="18" t="s">
        <v>8</v>
      </c>
      <c r="T165" s="97" t="s">
        <v>8</v>
      </c>
      <c r="V165" s="31">
        <v>5.2</v>
      </c>
      <c r="W165" s="18">
        <v>2.7</v>
      </c>
      <c r="X165" s="18">
        <v>3.9</v>
      </c>
      <c r="Y165" s="18">
        <v>1.4</v>
      </c>
      <c r="Z165" s="18" t="s">
        <v>1</v>
      </c>
      <c r="AA165" s="18" t="s">
        <v>8</v>
      </c>
      <c r="AB165" s="51" t="s">
        <v>8</v>
      </c>
      <c r="AC165" s="18" t="s">
        <v>9</v>
      </c>
      <c r="AD165" s="97" t="s">
        <v>9</v>
      </c>
    </row>
    <row r="166" spans="2:30">
      <c r="B166" s="31">
        <v>5.0999999999999996</v>
      </c>
      <c r="C166" s="18">
        <v>3.7</v>
      </c>
      <c r="D166" s="18">
        <v>1.5</v>
      </c>
      <c r="E166" s="18">
        <v>0.4</v>
      </c>
      <c r="F166" s="18" t="s">
        <v>0</v>
      </c>
      <c r="G166" s="18" t="s">
        <v>8</v>
      </c>
      <c r="H166" s="51" t="s">
        <v>10</v>
      </c>
      <c r="I166" s="18" t="s">
        <v>8</v>
      </c>
      <c r="J166" s="97" t="s">
        <v>8</v>
      </c>
      <c r="L166" s="29">
        <v>4.8</v>
      </c>
      <c r="M166" s="22">
        <v>3</v>
      </c>
      <c r="N166" s="22">
        <v>1.4</v>
      </c>
      <c r="O166" s="22">
        <v>0.1</v>
      </c>
      <c r="P166" s="22" t="s">
        <v>0</v>
      </c>
      <c r="Q166" s="18" t="s">
        <v>8</v>
      </c>
      <c r="R166" s="51" t="s">
        <v>9</v>
      </c>
      <c r="S166" s="18" t="s">
        <v>8</v>
      </c>
      <c r="T166" s="97" t="s">
        <v>8</v>
      </c>
      <c r="V166" s="29">
        <v>5</v>
      </c>
      <c r="W166" s="22">
        <v>2</v>
      </c>
      <c r="X166" s="22">
        <v>3.5</v>
      </c>
      <c r="Y166" s="22">
        <v>1</v>
      </c>
      <c r="Z166" s="22" t="s">
        <v>1</v>
      </c>
      <c r="AA166" s="18" t="s">
        <v>8</v>
      </c>
      <c r="AB166" s="51" t="s">
        <v>8</v>
      </c>
      <c r="AC166" s="18" t="s">
        <v>9</v>
      </c>
      <c r="AD166" s="97" t="s">
        <v>9</v>
      </c>
    </row>
    <row r="167" spans="2:30">
      <c r="B167" s="29">
        <v>4.5999999999999996</v>
      </c>
      <c r="C167" s="22">
        <v>3.6</v>
      </c>
      <c r="D167" s="22">
        <v>1</v>
      </c>
      <c r="E167" s="22">
        <v>0.2</v>
      </c>
      <c r="F167" s="22" t="s">
        <v>0</v>
      </c>
      <c r="G167" s="18" t="s">
        <v>8</v>
      </c>
      <c r="H167" s="51" t="s">
        <v>10</v>
      </c>
      <c r="I167" s="18" t="s">
        <v>8</v>
      </c>
      <c r="J167" s="97" t="s">
        <v>8</v>
      </c>
      <c r="L167" s="31">
        <v>4.3</v>
      </c>
      <c r="M167" s="18">
        <v>3</v>
      </c>
      <c r="N167" s="18">
        <v>1.1000000000000001</v>
      </c>
      <c r="O167" s="18">
        <v>0.1</v>
      </c>
      <c r="P167" s="18" t="s">
        <v>0</v>
      </c>
      <c r="Q167" s="18" t="s">
        <v>8</v>
      </c>
      <c r="R167" s="51" t="s">
        <v>9</v>
      </c>
      <c r="S167" s="18" t="s">
        <v>8</v>
      </c>
      <c r="T167" s="97" t="s">
        <v>8</v>
      </c>
      <c r="V167" s="29">
        <v>6</v>
      </c>
      <c r="W167" s="22">
        <v>2.2000000000000002</v>
      </c>
      <c r="X167" s="22">
        <v>4</v>
      </c>
      <c r="Y167" s="22">
        <v>1</v>
      </c>
      <c r="Z167" s="22" t="s">
        <v>1</v>
      </c>
      <c r="AA167" s="18" t="s">
        <v>9</v>
      </c>
      <c r="AB167" s="51" t="s">
        <v>8</v>
      </c>
      <c r="AC167" s="18" t="s">
        <v>9</v>
      </c>
      <c r="AD167" s="97" t="s">
        <v>9</v>
      </c>
    </row>
    <row r="168" spans="2:30">
      <c r="B168" s="29">
        <v>5.2</v>
      </c>
      <c r="C168" s="22">
        <v>4.0999999999999996</v>
      </c>
      <c r="D168" s="22">
        <v>1.5</v>
      </c>
      <c r="E168" s="22">
        <v>0.1</v>
      </c>
      <c r="F168" s="22" t="s">
        <v>0</v>
      </c>
      <c r="G168" s="18" t="s">
        <v>8</v>
      </c>
      <c r="H168" s="51" t="s">
        <v>10</v>
      </c>
      <c r="I168" s="18" t="s">
        <v>8</v>
      </c>
      <c r="J168" s="97" t="s">
        <v>8</v>
      </c>
      <c r="L168" s="31">
        <v>5.0999999999999996</v>
      </c>
      <c r="M168" s="18">
        <v>3.5</v>
      </c>
      <c r="N168" s="18">
        <v>1.4</v>
      </c>
      <c r="O168" s="18">
        <v>0.3</v>
      </c>
      <c r="P168" s="18" t="s">
        <v>0</v>
      </c>
      <c r="Q168" s="18" t="s">
        <v>8</v>
      </c>
      <c r="R168" s="51" t="s">
        <v>9</v>
      </c>
      <c r="S168" s="18" t="s">
        <v>8</v>
      </c>
      <c r="T168" s="97" t="s">
        <v>8</v>
      </c>
      <c r="V168" s="31">
        <v>6.1</v>
      </c>
      <c r="W168" s="18">
        <v>2.9</v>
      </c>
      <c r="X168" s="18">
        <v>4.7</v>
      </c>
      <c r="Y168" s="18">
        <v>1.4</v>
      </c>
      <c r="Z168" s="18" t="s">
        <v>1</v>
      </c>
      <c r="AA168" s="18" t="s">
        <v>9</v>
      </c>
      <c r="AB168" s="51" t="s">
        <v>8</v>
      </c>
      <c r="AC168" s="18" t="s">
        <v>9</v>
      </c>
      <c r="AD168" s="97" t="s">
        <v>9</v>
      </c>
    </row>
    <row r="169" spans="2:30">
      <c r="B169" s="31">
        <v>5.5</v>
      </c>
      <c r="C169" s="18">
        <v>4.2</v>
      </c>
      <c r="D169" s="18">
        <v>1.4</v>
      </c>
      <c r="E169" s="18">
        <v>0.2</v>
      </c>
      <c r="F169" s="18" t="s">
        <v>0</v>
      </c>
      <c r="G169" s="18" t="s">
        <v>8</v>
      </c>
      <c r="H169" s="51" t="s">
        <v>10</v>
      </c>
      <c r="I169" s="18" t="s">
        <v>8</v>
      </c>
      <c r="J169" s="97" t="s">
        <v>8</v>
      </c>
      <c r="L169" s="29">
        <v>5.4</v>
      </c>
      <c r="M169" s="22">
        <v>3.4</v>
      </c>
      <c r="N169" s="22">
        <v>1.7</v>
      </c>
      <c r="O169" s="22">
        <v>0.2</v>
      </c>
      <c r="P169" s="22" t="s">
        <v>0</v>
      </c>
      <c r="Q169" s="18" t="s">
        <v>8</v>
      </c>
      <c r="R169" s="51" t="s">
        <v>9</v>
      </c>
      <c r="S169" s="18" t="s">
        <v>8</v>
      </c>
      <c r="T169" s="97" t="s">
        <v>8</v>
      </c>
      <c r="V169" s="29">
        <v>5.6</v>
      </c>
      <c r="W169" s="22">
        <v>2.9</v>
      </c>
      <c r="X169" s="22">
        <v>3.6</v>
      </c>
      <c r="Y169" s="22">
        <v>1.3</v>
      </c>
      <c r="Z169" s="22" t="s">
        <v>1</v>
      </c>
      <c r="AA169" s="18" t="s">
        <v>9</v>
      </c>
      <c r="AB169" s="51" t="s">
        <v>8</v>
      </c>
      <c r="AC169" s="18" t="s">
        <v>9</v>
      </c>
      <c r="AD169" s="97" t="s">
        <v>9</v>
      </c>
    </row>
    <row r="170" spans="2:30">
      <c r="B170" s="31">
        <v>4.9000000000000004</v>
      </c>
      <c r="C170" s="18">
        <v>3.1</v>
      </c>
      <c r="D170" s="18">
        <v>1.5</v>
      </c>
      <c r="E170" s="18">
        <v>0.1</v>
      </c>
      <c r="F170" s="18" t="s">
        <v>0</v>
      </c>
      <c r="G170" s="18" t="s">
        <v>8</v>
      </c>
      <c r="H170" s="51" t="s">
        <v>10</v>
      </c>
      <c r="I170" s="18" t="s">
        <v>8</v>
      </c>
      <c r="J170" s="97" t="s">
        <v>8</v>
      </c>
      <c r="L170" s="31">
        <v>5.0999999999999996</v>
      </c>
      <c r="M170" s="18">
        <v>3.3</v>
      </c>
      <c r="N170" s="18">
        <v>1.7</v>
      </c>
      <c r="O170" s="18">
        <v>0.5</v>
      </c>
      <c r="P170" s="18" t="s">
        <v>0</v>
      </c>
      <c r="Q170" s="18" t="s">
        <v>8</v>
      </c>
      <c r="R170" s="51" t="s">
        <v>9</v>
      </c>
      <c r="S170" s="18" t="s">
        <v>8</v>
      </c>
      <c r="T170" s="97" t="s">
        <v>8</v>
      </c>
      <c r="V170" s="31">
        <v>5.8</v>
      </c>
      <c r="W170" s="18">
        <v>2.7</v>
      </c>
      <c r="X170" s="18">
        <v>4.0999999999999996</v>
      </c>
      <c r="Y170" s="18">
        <v>1</v>
      </c>
      <c r="Z170" s="18" t="s">
        <v>1</v>
      </c>
      <c r="AA170" s="18" t="s">
        <v>9</v>
      </c>
      <c r="AB170" s="51" t="s">
        <v>8</v>
      </c>
      <c r="AC170" s="18" t="s">
        <v>9</v>
      </c>
      <c r="AD170" s="97" t="s">
        <v>9</v>
      </c>
    </row>
    <row r="171" spans="2:30">
      <c r="B171" s="29">
        <v>5.0999999999999996</v>
      </c>
      <c r="C171" s="22">
        <v>3.8</v>
      </c>
      <c r="D171" s="22">
        <v>1.9</v>
      </c>
      <c r="E171" s="22">
        <v>0.4</v>
      </c>
      <c r="F171" s="22" t="s">
        <v>0</v>
      </c>
      <c r="G171" s="18" t="s">
        <v>8</v>
      </c>
      <c r="H171" s="51" t="s">
        <v>10</v>
      </c>
      <c r="I171" s="18" t="s">
        <v>8</v>
      </c>
      <c r="J171" s="97" t="s">
        <v>8</v>
      </c>
      <c r="L171" s="29">
        <v>4.8</v>
      </c>
      <c r="M171" s="22">
        <v>3.4</v>
      </c>
      <c r="N171" s="22">
        <v>1.9</v>
      </c>
      <c r="O171" s="22">
        <v>0.2</v>
      </c>
      <c r="P171" s="22" t="s">
        <v>0</v>
      </c>
      <c r="Q171" s="18" t="s">
        <v>8</v>
      </c>
      <c r="R171" s="51" t="s">
        <v>9</v>
      </c>
      <c r="S171" s="18" t="s">
        <v>8</v>
      </c>
      <c r="T171" s="97" t="s">
        <v>8</v>
      </c>
      <c r="V171" s="29">
        <v>6.2</v>
      </c>
      <c r="W171" s="22">
        <v>2.2000000000000002</v>
      </c>
      <c r="X171" s="22">
        <v>4.5</v>
      </c>
      <c r="Y171" s="22">
        <v>1.5</v>
      </c>
      <c r="Z171" s="22" t="s">
        <v>1</v>
      </c>
      <c r="AA171" s="18" t="s">
        <v>9</v>
      </c>
      <c r="AB171" s="51" t="s">
        <v>8</v>
      </c>
      <c r="AC171" s="18" t="s">
        <v>9</v>
      </c>
      <c r="AD171" s="97" t="s">
        <v>9</v>
      </c>
    </row>
    <row r="172" spans="2:30">
      <c r="B172" s="29">
        <v>5.0999999999999996</v>
      </c>
      <c r="C172" s="22">
        <v>3.8</v>
      </c>
      <c r="D172" s="22">
        <v>1.6</v>
      </c>
      <c r="E172" s="22">
        <v>0.2</v>
      </c>
      <c r="F172" s="22" t="s">
        <v>0</v>
      </c>
      <c r="G172" s="18" t="s">
        <v>8</v>
      </c>
      <c r="H172" s="51" t="s">
        <v>10</v>
      </c>
      <c r="I172" s="18" t="s">
        <v>8</v>
      </c>
      <c r="J172" s="97" t="s">
        <v>8</v>
      </c>
      <c r="L172" s="31">
        <v>5</v>
      </c>
      <c r="M172" s="18">
        <v>3</v>
      </c>
      <c r="N172" s="18">
        <v>1.6</v>
      </c>
      <c r="O172" s="18">
        <v>0.2</v>
      </c>
      <c r="P172" s="18" t="s">
        <v>0</v>
      </c>
      <c r="Q172" s="18" t="s">
        <v>8</v>
      </c>
      <c r="R172" s="51" t="s">
        <v>9</v>
      </c>
      <c r="S172" s="18" t="s">
        <v>8</v>
      </c>
      <c r="T172" s="97" t="s">
        <v>8</v>
      </c>
      <c r="V172" s="31">
        <v>5.6</v>
      </c>
      <c r="W172" s="18">
        <v>2.5</v>
      </c>
      <c r="X172" s="18">
        <v>3.9</v>
      </c>
      <c r="Y172" s="18">
        <v>1.1000000000000001</v>
      </c>
      <c r="Z172" s="18" t="s">
        <v>1</v>
      </c>
      <c r="AA172" s="18" t="s">
        <v>9</v>
      </c>
      <c r="AB172" s="51" t="s">
        <v>8</v>
      </c>
      <c r="AC172" s="18" t="s">
        <v>9</v>
      </c>
      <c r="AD172" s="97" t="s">
        <v>9</v>
      </c>
    </row>
    <row r="173" spans="2:30">
      <c r="B173" s="29">
        <v>5.3</v>
      </c>
      <c r="C173" s="22">
        <v>3.7</v>
      </c>
      <c r="D173" s="22">
        <v>1.5</v>
      </c>
      <c r="E173" s="22">
        <v>0.2</v>
      </c>
      <c r="F173" s="22" t="s">
        <v>0</v>
      </c>
      <c r="G173" s="18" t="s">
        <v>8</v>
      </c>
      <c r="H173" s="51" t="s">
        <v>10</v>
      </c>
      <c r="I173" s="18" t="s">
        <v>8</v>
      </c>
      <c r="J173" s="97" t="s">
        <v>8</v>
      </c>
      <c r="L173" s="29">
        <v>5</v>
      </c>
      <c r="M173" s="22">
        <v>3.4</v>
      </c>
      <c r="N173" s="22">
        <v>1.6</v>
      </c>
      <c r="O173" s="22">
        <v>0.4</v>
      </c>
      <c r="P173" s="22" t="s">
        <v>0</v>
      </c>
      <c r="Q173" s="18" t="s">
        <v>8</v>
      </c>
      <c r="R173" s="51" t="s">
        <v>9</v>
      </c>
      <c r="S173" s="18" t="s">
        <v>8</v>
      </c>
      <c r="T173" s="97" t="s">
        <v>8</v>
      </c>
      <c r="V173" s="31">
        <v>6.1</v>
      </c>
      <c r="W173" s="18">
        <v>2.8</v>
      </c>
      <c r="X173" s="18">
        <v>4</v>
      </c>
      <c r="Y173" s="18">
        <v>1.3</v>
      </c>
      <c r="Z173" s="18" t="s">
        <v>1</v>
      </c>
      <c r="AA173" s="18" t="s">
        <v>9</v>
      </c>
      <c r="AB173" s="51" t="s">
        <v>8</v>
      </c>
      <c r="AC173" s="18" t="s">
        <v>9</v>
      </c>
      <c r="AD173" s="97" t="s">
        <v>9</v>
      </c>
    </row>
    <row r="174" spans="2:30">
      <c r="B174" s="31">
        <v>7.2</v>
      </c>
      <c r="C174" s="18">
        <v>3.6</v>
      </c>
      <c r="D174" s="18">
        <v>6.1</v>
      </c>
      <c r="E174" s="18">
        <v>2.5</v>
      </c>
      <c r="F174" s="18" t="s">
        <v>2</v>
      </c>
      <c r="G174" s="18" t="s">
        <v>10</v>
      </c>
      <c r="H174" s="51" t="s">
        <v>10</v>
      </c>
      <c r="I174" s="18" t="s">
        <v>10</v>
      </c>
      <c r="J174" s="97" t="s">
        <v>10</v>
      </c>
      <c r="L174" s="31">
        <v>5.2</v>
      </c>
      <c r="M174" s="18">
        <v>3.5</v>
      </c>
      <c r="N174" s="18">
        <v>1.5</v>
      </c>
      <c r="O174" s="18">
        <v>0.2</v>
      </c>
      <c r="P174" s="18" t="s">
        <v>0</v>
      </c>
      <c r="Q174" s="18" t="s">
        <v>8</v>
      </c>
      <c r="R174" s="51" t="s">
        <v>9</v>
      </c>
      <c r="S174" s="18" t="s">
        <v>8</v>
      </c>
      <c r="T174" s="97" t="s">
        <v>8</v>
      </c>
      <c r="V174" s="29">
        <v>6.3</v>
      </c>
      <c r="W174" s="22">
        <v>2.5</v>
      </c>
      <c r="X174" s="22">
        <v>4.9000000000000004</v>
      </c>
      <c r="Y174" s="22">
        <v>1.5</v>
      </c>
      <c r="Z174" s="22" t="s">
        <v>1</v>
      </c>
      <c r="AA174" s="18" t="s">
        <v>9</v>
      </c>
      <c r="AB174" s="51" t="s">
        <v>8</v>
      </c>
      <c r="AC174" s="18" t="s">
        <v>10</v>
      </c>
      <c r="AD174" s="97" t="s">
        <v>9</v>
      </c>
    </row>
    <row r="175" spans="2:30">
      <c r="B175" s="31">
        <v>7.7</v>
      </c>
      <c r="C175" s="18">
        <v>3.8</v>
      </c>
      <c r="D175" s="18">
        <v>6.7</v>
      </c>
      <c r="E175" s="18">
        <v>2.2000000000000002</v>
      </c>
      <c r="F175" s="18" t="s">
        <v>2</v>
      </c>
      <c r="G175" s="18" t="s">
        <v>10</v>
      </c>
      <c r="H175" s="51" t="s">
        <v>10</v>
      </c>
      <c r="I175" s="18" t="s">
        <v>10</v>
      </c>
      <c r="J175" s="97" t="s">
        <v>10</v>
      </c>
      <c r="L175" s="29">
        <v>5.2</v>
      </c>
      <c r="M175" s="22">
        <v>3.4</v>
      </c>
      <c r="N175" s="22">
        <v>1.4</v>
      </c>
      <c r="O175" s="22">
        <v>0.2</v>
      </c>
      <c r="P175" s="22" t="s">
        <v>0</v>
      </c>
      <c r="Q175" s="18" t="s">
        <v>8</v>
      </c>
      <c r="R175" s="51" t="s">
        <v>9</v>
      </c>
      <c r="S175" s="18" t="s">
        <v>8</v>
      </c>
      <c r="T175" s="97" t="s">
        <v>8</v>
      </c>
      <c r="V175" s="31">
        <v>6.1</v>
      </c>
      <c r="W175" s="18">
        <v>2.8</v>
      </c>
      <c r="X175" s="18">
        <v>4.7</v>
      </c>
      <c r="Y175" s="18">
        <v>1.2</v>
      </c>
      <c r="Z175" s="18" t="s">
        <v>1</v>
      </c>
      <c r="AA175" s="18" t="s">
        <v>9</v>
      </c>
      <c r="AB175" s="51" t="s">
        <v>8</v>
      </c>
      <c r="AC175" s="18" t="s">
        <v>9</v>
      </c>
      <c r="AD175" s="97" t="s">
        <v>9</v>
      </c>
    </row>
    <row r="176" spans="2:30">
      <c r="B176" s="80">
        <v>7.9</v>
      </c>
      <c r="C176" s="47">
        <v>3.8</v>
      </c>
      <c r="D176" s="47">
        <v>6.4</v>
      </c>
      <c r="E176" s="47">
        <v>2</v>
      </c>
      <c r="F176" s="47" t="s">
        <v>2</v>
      </c>
      <c r="G176" s="47" t="s">
        <v>10</v>
      </c>
      <c r="H176" s="54" t="s">
        <v>10</v>
      </c>
      <c r="I176" s="47" t="s">
        <v>10</v>
      </c>
      <c r="J176" s="98" t="s">
        <v>10</v>
      </c>
      <c r="L176" s="31">
        <v>4.7</v>
      </c>
      <c r="M176" s="18">
        <v>3.2</v>
      </c>
      <c r="N176" s="18">
        <v>1.6</v>
      </c>
      <c r="O176" s="18">
        <v>0.2</v>
      </c>
      <c r="P176" s="18" t="s">
        <v>0</v>
      </c>
      <c r="Q176" s="18" t="s">
        <v>8</v>
      </c>
      <c r="R176" s="51" t="s">
        <v>9</v>
      </c>
      <c r="S176" s="18" t="s">
        <v>8</v>
      </c>
      <c r="T176" s="97" t="s">
        <v>8</v>
      </c>
      <c r="V176" s="29">
        <v>6.4</v>
      </c>
      <c r="W176" s="22">
        <v>2.9</v>
      </c>
      <c r="X176" s="22">
        <v>4.3</v>
      </c>
      <c r="Y176" s="22">
        <v>1.3</v>
      </c>
      <c r="Z176" s="22" t="s">
        <v>1</v>
      </c>
      <c r="AA176" s="18" t="s">
        <v>9</v>
      </c>
      <c r="AB176" s="51" t="s">
        <v>8</v>
      </c>
      <c r="AC176" s="18" t="s">
        <v>9</v>
      </c>
      <c r="AD176" s="97" t="s">
        <v>9</v>
      </c>
    </row>
    <row r="177" spans="12:30">
      <c r="L177" s="29">
        <v>4.8</v>
      </c>
      <c r="M177" s="22">
        <v>3.1</v>
      </c>
      <c r="N177" s="22">
        <v>1.6</v>
      </c>
      <c r="O177" s="22">
        <v>0.2</v>
      </c>
      <c r="P177" s="22" t="s">
        <v>0</v>
      </c>
      <c r="Q177" s="18" t="s">
        <v>8</v>
      </c>
      <c r="R177" s="51" t="s">
        <v>9</v>
      </c>
      <c r="S177" s="18" t="s">
        <v>8</v>
      </c>
      <c r="T177" s="97" t="s">
        <v>8</v>
      </c>
      <c r="V177" s="29">
        <v>6.8</v>
      </c>
      <c r="W177" s="22">
        <v>2.8</v>
      </c>
      <c r="X177" s="22">
        <v>4.8</v>
      </c>
      <c r="Y177" s="22">
        <v>1.4</v>
      </c>
      <c r="Z177" s="22" t="s">
        <v>1</v>
      </c>
      <c r="AA177" s="18" t="s">
        <v>10</v>
      </c>
      <c r="AB177" s="51" t="s">
        <v>8</v>
      </c>
      <c r="AC177" s="18" t="s">
        <v>9</v>
      </c>
      <c r="AD177" s="97" t="s">
        <v>9</v>
      </c>
    </row>
    <row r="178" spans="12:30">
      <c r="L178" s="31">
        <v>5.4</v>
      </c>
      <c r="M178" s="18">
        <v>3.4</v>
      </c>
      <c r="N178" s="18">
        <v>1.5</v>
      </c>
      <c r="O178" s="18">
        <v>0.4</v>
      </c>
      <c r="P178" s="18" t="s">
        <v>0</v>
      </c>
      <c r="Q178" s="18" t="s">
        <v>8</v>
      </c>
      <c r="R178" s="51" t="s">
        <v>9</v>
      </c>
      <c r="S178" s="18" t="s">
        <v>8</v>
      </c>
      <c r="T178" s="97" t="s">
        <v>8</v>
      </c>
      <c r="V178" s="29">
        <v>6</v>
      </c>
      <c r="W178" s="22">
        <v>2.9</v>
      </c>
      <c r="X178" s="22">
        <v>4.5</v>
      </c>
      <c r="Y178" s="22">
        <v>1.5</v>
      </c>
      <c r="Z178" s="22" t="s">
        <v>1</v>
      </c>
      <c r="AA178" s="18" t="s">
        <v>9</v>
      </c>
      <c r="AB178" s="51" t="s">
        <v>8</v>
      </c>
      <c r="AC178" s="18" t="s">
        <v>9</v>
      </c>
      <c r="AD178" s="97" t="s">
        <v>9</v>
      </c>
    </row>
    <row r="179" spans="12:30">
      <c r="L179" s="29">
        <v>4.9000000000000004</v>
      </c>
      <c r="M179" s="22">
        <v>3.1</v>
      </c>
      <c r="N179" s="22">
        <v>1.5</v>
      </c>
      <c r="O179" s="22">
        <v>0.1</v>
      </c>
      <c r="P179" s="22" t="s">
        <v>0</v>
      </c>
      <c r="Q179" s="18" t="s">
        <v>8</v>
      </c>
      <c r="R179" s="51" t="s">
        <v>9</v>
      </c>
      <c r="S179" s="18" t="s">
        <v>8</v>
      </c>
      <c r="T179" s="97" t="s">
        <v>8</v>
      </c>
      <c r="V179" s="31">
        <v>5.7</v>
      </c>
      <c r="W179" s="18">
        <v>2.6</v>
      </c>
      <c r="X179" s="18">
        <v>3.5</v>
      </c>
      <c r="Y179" s="18">
        <v>1</v>
      </c>
      <c r="Z179" s="18" t="s">
        <v>1</v>
      </c>
      <c r="AA179" s="18" t="s">
        <v>9</v>
      </c>
      <c r="AB179" s="51" t="s">
        <v>8</v>
      </c>
      <c r="AC179" s="18" t="s">
        <v>9</v>
      </c>
      <c r="AD179" s="97" t="s">
        <v>9</v>
      </c>
    </row>
    <row r="180" spans="12:30">
      <c r="L180" s="31">
        <v>5</v>
      </c>
      <c r="M180" s="18">
        <v>3.2</v>
      </c>
      <c r="N180" s="18">
        <v>1.2</v>
      </c>
      <c r="O180" s="18">
        <v>0.2</v>
      </c>
      <c r="P180" s="18" t="s">
        <v>0</v>
      </c>
      <c r="Q180" s="18" t="s">
        <v>8</v>
      </c>
      <c r="R180" s="51" t="s">
        <v>9</v>
      </c>
      <c r="S180" s="18" t="s">
        <v>8</v>
      </c>
      <c r="T180" s="97" t="s">
        <v>8</v>
      </c>
      <c r="V180" s="29">
        <v>5.5</v>
      </c>
      <c r="W180" s="22">
        <v>2.4</v>
      </c>
      <c r="X180" s="22">
        <v>3.8</v>
      </c>
      <c r="Y180" s="22">
        <v>1.1000000000000001</v>
      </c>
      <c r="Z180" s="22" t="s">
        <v>1</v>
      </c>
      <c r="AA180" s="18" t="s">
        <v>8</v>
      </c>
      <c r="AB180" s="51" t="s">
        <v>8</v>
      </c>
      <c r="AC180" s="18" t="s">
        <v>9</v>
      </c>
      <c r="AD180" s="97" t="s">
        <v>9</v>
      </c>
    </row>
    <row r="181" spans="12:30">
      <c r="L181" s="29">
        <v>5.5</v>
      </c>
      <c r="M181" s="22">
        <v>3.5</v>
      </c>
      <c r="N181" s="22">
        <v>1.3</v>
      </c>
      <c r="O181" s="22">
        <v>0.2</v>
      </c>
      <c r="P181" s="22" t="s">
        <v>0</v>
      </c>
      <c r="Q181" s="18" t="s">
        <v>8</v>
      </c>
      <c r="R181" s="51" t="s">
        <v>9</v>
      </c>
      <c r="S181" s="18" t="s">
        <v>8</v>
      </c>
      <c r="T181" s="97" t="s">
        <v>8</v>
      </c>
      <c r="V181" s="31">
        <v>5.5</v>
      </c>
      <c r="W181" s="18">
        <v>2.4</v>
      </c>
      <c r="X181" s="18">
        <v>3.7</v>
      </c>
      <c r="Y181" s="18">
        <v>1</v>
      </c>
      <c r="Z181" s="18" t="s">
        <v>1</v>
      </c>
      <c r="AA181" s="18" t="s">
        <v>8</v>
      </c>
      <c r="AB181" s="51" t="s">
        <v>8</v>
      </c>
      <c r="AC181" s="18" t="s">
        <v>9</v>
      </c>
      <c r="AD181" s="97" t="s">
        <v>9</v>
      </c>
    </row>
    <row r="182" spans="12:30">
      <c r="L182" s="29">
        <v>4.4000000000000004</v>
      </c>
      <c r="M182" s="22">
        <v>3</v>
      </c>
      <c r="N182" s="22">
        <v>1.3</v>
      </c>
      <c r="O182" s="22">
        <v>0.2</v>
      </c>
      <c r="P182" s="22" t="s">
        <v>0</v>
      </c>
      <c r="Q182" s="18" t="s">
        <v>8</v>
      </c>
      <c r="R182" s="51" t="s">
        <v>9</v>
      </c>
      <c r="S182" s="18" t="s">
        <v>8</v>
      </c>
      <c r="T182" s="97" t="s">
        <v>8</v>
      </c>
      <c r="V182" s="29">
        <v>5.8</v>
      </c>
      <c r="W182" s="22">
        <v>2.7</v>
      </c>
      <c r="X182" s="22">
        <v>3.9</v>
      </c>
      <c r="Y182" s="22">
        <v>1.2</v>
      </c>
      <c r="Z182" s="22" t="s">
        <v>1</v>
      </c>
      <c r="AA182" s="18" t="s">
        <v>9</v>
      </c>
      <c r="AB182" s="51" t="s">
        <v>8</v>
      </c>
      <c r="AC182" s="18" t="s">
        <v>9</v>
      </c>
      <c r="AD182" s="97" t="s">
        <v>9</v>
      </c>
    </row>
    <row r="183" spans="12:30">
      <c r="L183" s="31">
        <v>5.0999999999999996</v>
      </c>
      <c r="M183" s="18">
        <v>3.4</v>
      </c>
      <c r="N183" s="18">
        <v>1.5</v>
      </c>
      <c r="O183" s="18">
        <v>0.2</v>
      </c>
      <c r="P183" s="18" t="s">
        <v>0</v>
      </c>
      <c r="Q183" s="18" t="s">
        <v>8</v>
      </c>
      <c r="R183" s="51" t="s">
        <v>9</v>
      </c>
      <c r="S183" s="18" t="s">
        <v>8</v>
      </c>
      <c r="T183" s="97" t="s">
        <v>8</v>
      </c>
      <c r="V183" s="31">
        <v>6</v>
      </c>
      <c r="W183" s="18">
        <v>2.7</v>
      </c>
      <c r="X183" s="18">
        <v>5.0999999999999996</v>
      </c>
      <c r="Y183" s="18">
        <v>1.6</v>
      </c>
      <c r="Z183" s="18" t="s">
        <v>1</v>
      </c>
      <c r="AA183" s="18" t="s">
        <v>9</v>
      </c>
      <c r="AB183" s="51" t="s">
        <v>8</v>
      </c>
      <c r="AC183" s="18" t="s">
        <v>10</v>
      </c>
      <c r="AD183" s="97" t="s">
        <v>9</v>
      </c>
    </row>
    <row r="184" spans="12:30">
      <c r="L184" s="29">
        <v>5</v>
      </c>
      <c r="M184" s="22">
        <v>3.5</v>
      </c>
      <c r="N184" s="22">
        <v>1.3</v>
      </c>
      <c r="O184" s="22">
        <v>0.3</v>
      </c>
      <c r="P184" s="22" t="s">
        <v>0</v>
      </c>
      <c r="Q184" s="18" t="s">
        <v>8</v>
      </c>
      <c r="R184" s="51" t="s">
        <v>9</v>
      </c>
      <c r="S184" s="18" t="s">
        <v>8</v>
      </c>
      <c r="T184" s="97" t="s">
        <v>8</v>
      </c>
      <c r="V184" s="31">
        <v>6.3</v>
      </c>
      <c r="W184" s="18">
        <v>2.2999999999999998</v>
      </c>
      <c r="X184" s="18">
        <v>4.4000000000000004</v>
      </c>
      <c r="Y184" s="18">
        <v>1.3</v>
      </c>
      <c r="Z184" s="18" t="s">
        <v>1</v>
      </c>
      <c r="AA184" s="18" t="s">
        <v>9</v>
      </c>
      <c r="AB184" s="51" t="s">
        <v>8</v>
      </c>
      <c r="AC184" s="18" t="s">
        <v>9</v>
      </c>
      <c r="AD184" s="97" t="s">
        <v>9</v>
      </c>
    </row>
    <row r="185" spans="12:30">
      <c r="L185" s="29">
        <v>4.4000000000000004</v>
      </c>
      <c r="M185" s="22">
        <v>3.2</v>
      </c>
      <c r="N185" s="22">
        <v>1.3</v>
      </c>
      <c r="O185" s="22">
        <v>0.2</v>
      </c>
      <c r="P185" s="22" t="s">
        <v>0</v>
      </c>
      <c r="Q185" s="18" t="s">
        <v>8</v>
      </c>
      <c r="R185" s="51" t="s">
        <v>9</v>
      </c>
      <c r="S185" s="18" t="s">
        <v>8</v>
      </c>
      <c r="T185" s="97" t="s">
        <v>8</v>
      </c>
      <c r="V185" s="31">
        <v>5.5</v>
      </c>
      <c r="W185" s="18">
        <v>2.5</v>
      </c>
      <c r="X185" s="18">
        <v>4</v>
      </c>
      <c r="Y185" s="18">
        <v>1.3</v>
      </c>
      <c r="Z185" s="18" t="s">
        <v>1</v>
      </c>
      <c r="AA185" s="18" t="s">
        <v>8</v>
      </c>
      <c r="AB185" s="51" t="s">
        <v>8</v>
      </c>
      <c r="AC185" s="18" t="s">
        <v>9</v>
      </c>
      <c r="AD185" s="97" t="s">
        <v>9</v>
      </c>
    </row>
    <row r="186" spans="12:30">
      <c r="L186" s="31">
        <v>5</v>
      </c>
      <c r="M186" s="18">
        <v>3.5</v>
      </c>
      <c r="N186" s="18">
        <v>1.6</v>
      </c>
      <c r="O186" s="18">
        <v>0.6</v>
      </c>
      <c r="P186" s="18" t="s">
        <v>0</v>
      </c>
      <c r="Q186" s="18" t="s">
        <v>8</v>
      </c>
      <c r="R186" s="51" t="s">
        <v>9</v>
      </c>
      <c r="S186" s="18" t="s">
        <v>8</v>
      </c>
      <c r="T186" s="97" t="s">
        <v>8</v>
      </c>
      <c r="V186" s="29">
        <v>5.5</v>
      </c>
      <c r="W186" s="22">
        <v>2.6</v>
      </c>
      <c r="X186" s="22">
        <v>4.4000000000000004</v>
      </c>
      <c r="Y186" s="22">
        <v>1.2</v>
      </c>
      <c r="Z186" s="22" t="s">
        <v>1</v>
      </c>
      <c r="AA186" s="18" t="s">
        <v>8</v>
      </c>
      <c r="AB186" s="51" t="s">
        <v>8</v>
      </c>
      <c r="AC186" s="18" t="s">
        <v>9</v>
      </c>
      <c r="AD186" s="97" t="s">
        <v>9</v>
      </c>
    </row>
    <row r="187" spans="12:30">
      <c r="L187" s="31">
        <v>4.8</v>
      </c>
      <c r="M187" s="18">
        <v>3</v>
      </c>
      <c r="N187" s="18">
        <v>1.4</v>
      </c>
      <c r="O187" s="18">
        <v>0.3</v>
      </c>
      <c r="P187" s="18" t="s">
        <v>0</v>
      </c>
      <c r="Q187" s="18" t="s">
        <v>8</v>
      </c>
      <c r="R187" s="51" t="s">
        <v>9</v>
      </c>
      <c r="S187" s="18" t="s">
        <v>8</v>
      </c>
      <c r="T187" s="97" t="s">
        <v>8</v>
      </c>
      <c r="V187" s="29">
        <v>5.8</v>
      </c>
      <c r="W187" s="22">
        <v>2.6</v>
      </c>
      <c r="X187" s="22">
        <v>4</v>
      </c>
      <c r="Y187" s="22">
        <v>1.2</v>
      </c>
      <c r="Z187" s="22" t="s">
        <v>1</v>
      </c>
      <c r="AA187" s="18" t="s">
        <v>9</v>
      </c>
      <c r="AB187" s="51" t="s">
        <v>8</v>
      </c>
      <c r="AC187" s="18" t="s">
        <v>9</v>
      </c>
      <c r="AD187" s="97" t="s">
        <v>9</v>
      </c>
    </row>
    <row r="188" spans="12:30">
      <c r="L188" s="31">
        <v>4.5999999999999996</v>
      </c>
      <c r="M188" s="18">
        <v>3.2</v>
      </c>
      <c r="N188" s="18">
        <v>1.4</v>
      </c>
      <c r="O188" s="18">
        <v>0.2</v>
      </c>
      <c r="P188" s="18" t="s">
        <v>0</v>
      </c>
      <c r="Q188" s="18" t="s">
        <v>8</v>
      </c>
      <c r="R188" s="51" t="s">
        <v>9</v>
      </c>
      <c r="S188" s="18" t="s">
        <v>8</v>
      </c>
      <c r="T188" s="97" t="s">
        <v>8</v>
      </c>
      <c r="V188" s="31">
        <v>5</v>
      </c>
      <c r="W188" s="18">
        <v>2.2999999999999998</v>
      </c>
      <c r="X188" s="18">
        <v>3.3</v>
      </c>
      <c r="Y188" s="18">
        <v>1</v>
      </c>
      <c r="Z188" s="18" t="s">
        <v>1</v>
      </c>
      <c r="AA188" s="18" t="s">
        <v>8</v>
      </c>
      <c r="AB188" s="51" t="s">
        <v>8</v>
      </c>
      <c r="AC188" s="18" t="s">
        <v>9</v>
      </c>
      <c r="AD188" s="97" t="s">
        <v>9</v>
      </c>
    </row>
    <row r="189" spans="12:30">
      <c r="L189" s="31">
        <v>5</v>
      </c>
      <c r="M189" s="18">
        <v>3.3</v>
      </c>
      <c r="N189" s="18">
        <v>1.4</v>
      </c>
      <c r="O189" s="18">
        <v>0.2</v>
      </c>
      <c r="P189" s="18" t="s">
        <v>0</v>
      </c>
      <c r="Q189" s="18" t="s">
        <v>8</v>
      </c>
      <c r="R189" s="51" t="s">
        <v>9</v>
      </c>
      <c r="S189" s="18" t="s">
        <v>8</v>
      </c>
      <c r="T189" s="97" t="s">
        <v>8</v>
      </c>
      <c r="V189" s="29">
        <v>5.6</v>
      </c>
      <c r="W189" s="22">
        <v>2.7</v>
      </c>
      <c r="X189" s="22">
        <v>4.2</v>
      </c>
      <c r="Y189" s="22">
        <v>1.3</v>
      </c>
      <c r="Z189" s="22" t="s">
        <v>1</v>
      </c>
      <c r="AA189" s="18" t="s">
        <v>9</v>
      </c>
      <c r="AB189" s="51" t="s">
        <v>8</v>
      </c>
      <c r="AC189" s="18" t="s">
        <v>9</v>
      </c>
      <c r="AD189" s="97" t="s">
        <v>9</v>
      </c>
    </row>
    <row r="190" spans="12:30">
      <c r="L190" s="29">
        <v>7</v>
      </c>
      <c r="M190" s="22">
        <v>3.2</v>
      </c>
      <c r="N190" s="22">
        <v>4.7</v>
      </c>
      <c r="O190" s="22">
        <v>1.4</v>
      </c>
      <c r="P190" s="22" t="s">
        <v>1</v>
      </c>
      <c r="Q190" s="18" t="s">
        <v>10</v>
      </c>
      <c r="R190" s="51" t="s">
        <v>9</v>
      </c>
      <c r="S190" s="18" t="s">
        <v>9</v>
      </c>
      <c r="T190" s="97" t="s">
        <v>9</v>
      </c>
      <c r="V190" s="29">
        <v>5.7</v>
      </c>
      <c r="W190" s="22">
        <v>2.9</v>
      </c>
      <c r="X190" s="22">
        <v>4.2</v>
      </c>
      <c r="Y190" s="22">
        <v>1.3</v>
      </c>
      <c r="Z190" s="22" t="s">
        <v>1</v>
      </c>
      <c r="AA190" s="18" t="s">
        <v>9</v>
      </c>
      <c r="AB190" s="51" t="s">
        <v>8</v>
      </c>
      <c r="AC190" s="18" t="s">
        <v>9</v>
      </c>
      <c r="AD190" s="97" t="s">
        <v>9</v>
      </c>
    </row>
    <row r="191" spans="12:30">
      <c r="L191" s="31">
        <v>6.4</v>
      </c>
      <c r="M191" s="18">
        <v>3.2</v>
      </c>
      <c r="N191" s="18">
        <v>4.5</v>
      </c>
      <c r="O191" s="18">
        <v>1.5</v>
      </c>
      <c r="P191" s="18" t="s">
        <v>1</v>
      </c>
      <c r="Q191" s="18" t="s">
        <v>9</v>
      </c>
      <c r="R191" s="51" t="s">
        <v>9</v>
      </c>
      <c r="S191" s="18" t="s">
        <v>9</v>
      </c>
      <c r="T191" s="97" t="s">
        <v>9</v>
      </c>
      <c r="V191" s="31">
        <v>6.2</v>
      </c>
      <c r="W191" s="18">
        <v>2.9</v>
      </c>
      <c r="X191" s="18">
        <v>4.3</v>
      </c>
      <c r="Y191" s="18">
        <v>1.3</v>
      </c>
      <c r="Z191" s="18" t="s">
        <v>1</v>
      </c>
      <c r="AA191" s="18" t="s">
        <v>9</v>
      </c>
      <c r="AB191" s="51" t="s">
        <v>8</v>
      </c>
      <c r="AC191" s="18" t="s">
        <v>9</v>
      </c>
      <c r="AD191" s="97" t="s">
        <v>9</v>
      </c>
    </row>
    <row r="192" spans="12:30">
      <c r="L192" s="29">
        <v>6.9</v>
      </c>
      <c r="M192" s="22">
        <v>3.1</v>
      </c>
      <c r="N192" s="22">
        <v>4.9000000000000004</v>
      </c>
      <c r="O192" s="22">
        <v>1.5</v>
      </c>
      <c r="P192" s="22" t="s">
        <v>1</v>
      </c>
      <c r="Q192" s="18" t="s">
        <v>10</v>
      </c>
      <c r="R192" s="51" t="s">
        <v>9</v>
      </c>
      <c r="S192" s="18" t="s">
        <v>10</v>
      </c>
      <c r="T192" s="97" t="s">
        <v>9</v>
      </c>
      <c r="V192" s="29">
        <v>5.0999999999999996</v>
      </c>
      <c r="W192" s="22">
        <v>2.5</v>
      </c>
      <c r="X192" s="22">
        <v>3</v>
      </c>
      <c r="Y192" s="22">
        <v>1.1000000000000001</v>
      </c>
      <c r="Z192" s="22" t="s">
        <v>1</v>
      </c>
      <c r="AA192" s="18" t="s">
        <v>8</v>
      </c>
      <c r="AB192" s="51" t="s">
        <v>8</v>
      </c>
      <c r="AC192" s="18" t="s">
        <v>9</v>
      </c>
      <c r="AD192" s="97" t="s">
        <v>9</v>
      </c>
    </row>
    <row r="193" spans="12:30">
      <c r="L193" s="29">
        <v>6.3</v>
      </c>
      <c r="M193" s="22">
        <v>3.3</v>
      </c>
      <c r="N193" s="22">
        <v>4.7</v>
      </c>
      <c r="O193" s="22">
        <v>1.6</v>
      </c>
      <c r="P193" s="22" t="s">
        <v>1</v>
      </c>
      <c r="Q193" s="18" t="s">
        <v>9</v>
      </c>
      <c r="R193" s="51" t="s">
        <v>9</v>
      </c>
      <c r="S193" s="18" t="s">
        <v>9</v>
      </c>
      <c r="T193" s="97" t="s">
        <v>9</v>
      </c>
      <c r="V193" s="31">
        <v>5.7</v>
      </c>
      <c r="W193" s="18">
        <v>2.8</v>
      </c>
      <c r="X193" s="18">
        <v>4.0999999999999996</v>
      </c>
      <c r="Y193" s="18">
        <v>1.3</v>
      </c>
      <c r="Z193" s="18" t="s">
        <v>1</v>
      </c>
      <c r="AA193" s="18" t="s">
        <v>9</v>
      </c>
      <c r="AB193" s="51" t="s">
        <v>8</v>
      </c>
      <c r="AC193" s="18" t="s">
        <v>9</v>
      </c>
      <c r="AD193" s="97" t="s">
        <v>9</v>
      </c>
    </row>
    <row r="194" spans="12:30">
      <c r="L194" s="31">
        <v>5.9</v>
      </c>
      <c r="M194" s="18">
        <v>3</v>
      </c>
      <c r="N194" s="18">
        <v>4.2</v>
      </c>
      <c r="O194" s="18">
        <v>1.5</v>
      </c>
      <c r="P194" s="18" t="s">
        <v>1</v>
      </c>
      <c r="Q194" s="18" t="s">
        <v>9</v>
      </c>
      <c r="R194" s="51" t="s">
        <v>9</v>
      </c>
      <c r="S194" s="18" t="s">
        <v>9</v>
      </c>
      <c r="T194" s="97" t="s">
        <v>9</v>
      </c>
      <c r="V194" s="31">
        <v>5.8</v>
      </c>
      <c r="W194" s="18">
        <v>2.7</v>
      </c>
      <c r="X194" s="18">
        <v>5.0999999999999996</v>
      </c>
      <c r="Y194" s="18">
        <v>1.9</v>
      </c>
      <c r="Z194" s="18" t="s">
        <v>2</v>
      </c>
      <c r="AA194" s="18" t="s">
        <v>9</v>
      </c>
      <c r="AB194" s="51" t="s">
        <v>8</v>
      </c>
      <c r="AC194" s="18" t="s">
        <v>10</v>
      </c>
      <c r="AD194" s="97" t="s">
        <v>10</v>
      </c>
    </row>
    <row r="195" spans="12:30">
      <c r="L195" s="31">
        <v>6.7</v>
      </c>
      <c r="M195" s="18">
        <v>3.1</v>
      </c>
      <c r="N195" s="18">
        <v>4.4000000000000004</v>
      </c>
      <c r="O195" s="18">
        <v>1.4</v>
      </c>
      <c r="P195" s="18" t="s">
        <v>1</v>
      </c>
      <c r="Q195" s="18" t="s">
        <v>10</v>
      </c>
      <c r="R195" s="51" t="s">
        <v>9</v>
      </c>
      <c r="S195" s="18" t="s">
        <v>9</v>
      </c>
      <c r="T195" s="97" t="s">
        <v>9</v>
      </c>
      <c r="V195" s="31">
        <v>6.3</v>
      </c>
      <c r="W195" s="18">
        <v>2.9</v>
      </c>
      <c r="X195" s="18">
        <v>5.6</v>
      </c>
      <c r="Y195" s="18">
        <v>1.8</v>
      </c>
      <c r="Z195" s="18" t="s">
        <v>2</v>
      </c>
      <c r="AA195" s="18" t="s">
        <v>9</v>
      </c>
      <c r="AB195" s="51" t="s">
        <v>8</v>
      </c>
      <c r="AC195" s="18" t="s">
        <v>10</v>
      </c>
      <c r="AD195" s="97" t="s">
        <v>10</v>
      </c>
    </row>
    <row r="196" spans="12:30">
      <c r="L196" s="29">
        <v>5.6</v>
      </c>
      <c r="M196" s="22">
        <v>3</v>
      </c>
      <c r="N196" s="22">
        <v>4.5</v>
      </c>
      <c r="O196" s="22">
        <v>1.5</v>
      </c>
      <c r="P196" s="22" t="s">
        <v>1</v>
      </c>
      <c r="Q196" s="18" t="s">
        <v>9</v>
      </c>
      <c r="R196" s="51" t="s">
        <v>9</v>
      </c>
      <c r="S196" s="18" t="s">
        <v>9</v>
      </c>
      <c r="T196" s="97" t="s">
        <v>9</v>
      </c>
      <c r="V196" s="29">
        <v>4.9000000000000004</v>
      </c>
      <c r="W196" s="22">
        <v>2.5</v>
      </c>
      <c r="X196" s="22">
        <v>4.5</v>
      </c>
      <c r="Y196" s="22">
        <v>1.7</v>
      </c>
      <c r="Z196" s="22" t="s">
        <v>2</v>
      </c>
      <c r="AA196" s="18" t="s">
        <v>8</v>
      </c>
      <c r="AB196" s="51" t="s">
        <v>8</v>
      </c>
      <c r="AC196" s="18" t="s">
        <v>9</v>
      </c>
      <c r="AD196" s="97" t="s">
        <v>9</v>
      </c>
    </row>
    <row r="197" spans="12:30">
      <c r="L197" s="29">
        <v>5.9</v>
      </c>
      <c r="M197" s="22">
        <v>3.2</v>
      </c>
      <c r="N197" s="22">
        <v>4.8</v>
      </c>
      <c r="O197" s="22">
        <v>1.8</v>
      </c>
      <c r="P197" s="22" t="s">
        <v>1</v>
      </c>
      <c r="Q197" s="18" t="s">
        <v>9</v>
      </c>
      <c r="R197" s="51" t="s">
        <v>9</v>
      </c>
      <c r="S197" s="18" t="s">
        <v>9</v>
      </c>
      <c r="T197" s="97" t="s">
        <v>10</v>
      </c>
      <c r="V197" s="31">
        <v>7.3</v>
      </c>
      <c r="W197" s="18">
        <v>2.9</v>
      </c>
      <c r="X197" s="18">
        <v>6.3</v>
      </c>
      <c r="Y197" s="18">
        <v>1.8</v>
      </c>
      <c r="Z197" s="18" t="s">
        <v>2</v>
      </c>
      <c r="AA197" s="18" t="s">
        <v>10</v>
      </c>
      <c r="AB197" s="51" t="s">
        <v>8</v>
      </c>
      <c r="AC197" s="18" t="s">
        <v>10</v>
      </c>
      <c r="AD197" s="97" t="s">
        <v>10</v>
      </c>
    </row>
    <row r="198" spans="12:30">
      <c r="L198" s="31">
        <v>6.6</v>
      </c>
      <c r="M198" s="18">
        <v>3</v>
      </c>
      <c r="N198" s="18">
        <v>4.4000000000000004</v>
      </c>
      <c r="O198" s="18">
        <v>1.4</v>
      </c>
      <c r="P198" s="18" t="s">
        <v>1</v>
      </c>
      <c r="Q198" s="18" t="s">
        <v>10</v>
      </c>
      <c r="R198" s="51" t="s">
        <v>9</v>
      </c>
      <c r="S198" s="18" t="s">
        <v>9</v>
      </c>
      <c r="T198" s="97" t="s">
        <v>9</v>
      </c>
      <c r="V198" s="29">
        <v>6.7</v>
      </c>
      <c r="W198" s="22">
        <v>2.5</v>
      </c>
      <c r="X198" s="22">
        <v>5.8</v>
      </c>
      <c r="Y198" s="22">
        <v>1.8</v>
      </c>
      <c r="Z198" s="22" t="s">
        <v>2</v>
      </c>
      <c r="AA198" s="18" t="s">
        <v>10</v>
      </c>
      <c r="AB198" s="51" t="s">
        <v>8</v>
      </c>
      <c r="AC198" s="18" t="s">
        <v>10</v>
      </c>
      <c r="AD198" s="97" t="s">
        <v>10</v>
      </c>
    </row>
    <row r="199" spans="12:30">
      <c r="L199" s="31">
        <v>6.7</v>
      </c>
      <c r="M199" s="18">
        <v>3</v>
      </c>
      <c r="N199" s="18">
        <v>5</v>
      </c>
      <c r="O199" s="18">
        <v>1.7</v>
      </c>
      <c r="P199" s="18" t="s">
        <v>1</v>
      </c>
      <c r="Q199" s="18" t="s">
        <v>10</v>
      </c>
      <c r="R199" s="51" t="s">
        <v>9</v>
      </c>
      <c r="S199" s="18" t="s">
        <v>10</v>
      </c>
      <c r="T199" s="97" t="s">
        <v>9</v>
      </c>
      <c r="V199" s="31">
        <v>6.4</v>
      </c>
      <c r="W199" s="18">
        <v>2.7</v>
      </c>
      <c r="X199" s="18">
        <v>5.3</v>
      </c>
      <c r="Y199" s="18">
        <v>1.9</v>
      </c>
      <c r="Z199" s="18" t="s">
        <v>2</v>
      </c>
      <c r="AA199" s="18" t="s">
        <v>9</v>
      </c>
      <c r="AB199" s="51" t="s">
        <v>8</v>
      </c>
      <c r="AC199" s="18" t="s">
        <v>10</v>
      </c>
      <c r="AD199" s="97" t="s">
        <v>10</v>
      </c>
    </row>
    <row r="200" spans="12:30">
      <c r="L200" s="29">
        <v>5.4</v>
      </c>
      <c r="M200" s="22">
        <v>3</v>
      </c>
      <c r="N200" s="22">
        <v>4.5</v>
      </c>
      <c r="O200" s="22">
        <v>1.5</v>
      </c>
      <c r="P200" s="22" t="s">
        <v>1</v>
      </c>
      <c r="Q200" s="18" t="s">
        <v>8</v>
      </c>
      <c r="R200" s="51" t="s">
        <v>9</v>
      </c>
      <c r="S200" s="18" t="s">
        <v>9</v>
      </c>
      <c r="T200" s="97" t="s">
        <v>9</v>
      </c>
      <c r="V200" s="31">
        <v>5.7</v>
      </c>
      <c r="W200" s="18">
        <v>2.5</v>
      </c>
      <c r="X200" s="18">
        <v>5</v>
      </c>
      <c r="Y200" s="18">
        <v>2</v>
      </c>
      <c r="Z200" s="18" t="s">
        <v>2</v>
      </c>
      <c r="AA200" s="18" t="s">
        <v>9</v>
      </c>
      <c r="AB200" s="51" t="s">
        <v>8</v>
      </c>
      <c r="AC200" s="18" t="s">
        <v>10</v>
      </c>
      <c r="AD200" s="97" t="s">
        <v>10</v>
      </c>
    </row>
    <row r="201" spans="12:30">
      <c r="L201" s="31">
        <v>6</v>
      </c>
      <c r="M201" s="18">
        <v>3.4</v>
      </c>
      <c r="N201" s="18">
        <v>4.5</v>
      </c>
      <c r="O201" s="18">
        <v>1.6</v>
      </c>
      <c r="P201" s="18" t="s">
        <v>1</v>
      </c>
      <c r="Q201" s="18" t="s">
        <v>9</v>
      </c>
      <c r="R201" s="51" t="s">
        <v>9</v>
      </c>
      <c r="S201" s="18" t="s">
        <v>9</v>
      </c>
      <c r="T201" s="97" t="s">
        <v>9</v>
      </c>
      <c r="V201" s="29">
        <v>5.8</v>
      </c>
      <c r="W201" s="22">
        <v>2.8</v>
      </c>
      <c r="X201" s="22">
        <v>5.0999999999999996</v>
      </c>
      <c r="Y201" s="22">
        <v>2.4</v>
      </c>
      <c r="Z201" s="22" t="s">
        <v>2</v>
      </c>
      <c r="AA201" s="18" t="s">
        <v>9</v>
      </c>
      <c r="AB201" s="51" t="s">
        <v>8</v>
      </c>
      <c r="AC201" s="18" t="s">
        <v>10</v>
      </c>
      <c r="AD201" s="97" t="s">
        <v>10</v>
      </c>
    </row>
    <row r="202" spans="12:30">
      <c r="L202" s="29">
        <v>6.7</v>
      </c>
      <c r="M202" s="22">
        <v>3.1</v>
      </c>
      <c r="N202" s="22">
        <v>4.7</v>
      </c>
      <c r="O202" s="22">
        <v>1.5</v>
      </c>
      <c r="P202" s="22" t="s">
        <v>1</v>
      </c>
      <c r="Q202" s="18" t="s">
        <v>10</v>
      </c>
      <c r="R202" s="51" t="s">
        <v>9</v>
      </c>
      <c r="S202" s="18" t="s">
        <v>9</v>
      </c>
      <c r="T202" s="97" t="s">
        <v>9</v>
      </c>
      <c r="V202" s="29">
        <v>7.7</v>
      </c>
      <c r="W202" s="22">
        <v>2.6</v>
      </c>
      <c r="X202" s="22">
        <v>6.9</v>
      </c>
      <c r="Y202" s="22">
        <v>2.2999999999999998</v>
      </c>
      <c r="Z202" s="22" t="s">
        <v>2</v>
      </c>
      <c r="AA202" s="18" t="s">
        <v>10</v>
      </c>
      <c r="AB202" s="51" t="s">
        <v>8</v>
      </c>
      <c r="AC202" s="18" t="s">
        <v>10</v>
      </c>
      <c r="AD202" s="97" t="s">
        <v>10</v>
      </c>
    </row>
    <row r="203" spans="12:30">
      <c r="L203" s="29">
        <v>5.6</v>
      </c>
      <c r="M203" s="22">
        <v>3</v>
      </c>
      <c r="N203" s="22">
        <v>4.0999999999999996</v>
      </c>
      <c r="O203" s="22">
        <v>1.3</v>
      </c>
      <c r="P203" s="22" t="s">
        <v>1</v>
      </c>
      <c r="Q203" s="18" t="s">
        <v>9</v>
      </c>
      <c r="R203" s="51" t="s">
        <v>9</v>
      </c>
      <c r="S203" s="18" t="s">
        <v>9</v>
      </c>
      <c r="T203" s="97" t="s">
        <v>9</v>
      </c>
      <c r="V203" s="31">
        <v>6</v>
      </c>
      <c r="W203" s="18">
        <v>2.2000000000000002</v>
      </c>
      <c r="X203" s="18">
        <v>5</v>
      </c>
      <c r="Y203" s="18">
        <v>1.5</v>
      </c>
      <c r="Z203" s="18" t="s">
        <v>2</v>
      </c>
      <c r="AA203" s="18" t="s">
        <v>9</v>
      </c>
      <c r="AB203" s="51" t="s">
        <v>8</v>
      </c>
      <c r="AC203" s="18" t="s">
        <v>10</v>
      </c>
      <c r="AD203" s="97" t="s">
        <v>9</v>
      </c>
    </row>
    <row r="204" spans="12:30">
      <c r="L204" s="31">
        <v>6.1</v>
      </c>
      <c r="M204" s="18">
        <v>3</v>
      </c>
      <c r="N204" s="18">
        <v>4.5999999999999996</v>
      </c>
      <c r="O204" s="18">
        <v>1.4</v>
      </c>
      <c r="P204" s="18" t="s">
        <v>1</v>
      </c>
      <c r="Q204" s="18" t="s">
        <v>9</v>
      </c>
      <c r="R204" s="51" t="s">
        <v>9</v>
      </c>
      <c r="S204" s="18" t="s">
        <v>9</v>
      </c>
      <c r="T204" s="97" t="s">
        <v>9</v>
      </c>
      <c r="V204" s="31">
        <v>5.6</v>
      </c>
      <c r="W204" s="18">
        <v>2.8</v>
      </c>
      <c r="X204" s="18">
        <v>4.9000000000000004</v>
      </c>
      <c r="Y204" s="18">
        <v>2</v>
      </c>
      <c r="Z204" s="18" t="s">
        <v>2</v>
      </c>
      <c r="AA204" s="18" t="s">
        <v>9</v>
      </c>
      <c r="AB204" s="51" t="s">
        <v>8</v>
      </c>
      <c r="AC204" s="18" t="s">
        <v>10</v>
      </c>
      <c r="AD204" s="97" t="s">
        <v>10</v>
      </c>
    </row>
    <row r="205" spans="12:30">
      <c r="L205" s="31">
        <v>5.7</v>
      </c>
      <c r="M205" s="18">
        <v>3</v>
      </c>
      <c r="N205" s="18">
        <v>4.2</v>
      </c>
      <c r="O205" s="18">
        <v>1.2</v>
      </c>
      <c r="P205" s="18" t="s">
        <v>1</v>
      </c>
      <c r="Q205" s="18" t="s">
        <v>9</v>
      </c>
      <c r="R205" s="51" t="s">
        <v>9</v>
      </c>
      <c r="S205" s="18" t="s">
        <v>9</v>
      </c>
      <c r="T205" s="97" t="s">
        <v>9</v>
      </c>
      <c r="V205" s="29">
        <v>7.7</v>
      </c>
      <c r="W205" s="22">
        <v>2.8</v>
      </c>
      <c r="X205" s="22">
        <v>6.7</v>
      </c>
      <c r="Y205" s="22">
        <v>2</v>
      </c>
      <c r="Z205" s="22" t="s">
        <v>2</v>
      </c>
      <c r="AA205" s="18" t="s">
        <v>10</v>
      </c>
      <c r="AB205" s="51" t="s">
        <v>8</v>
      </c>
      <c r="AC205" s="18" t="s">
        <v>10</v>
      </c>
      <c r="AD205" s="97" t="s">
        <v>10</v>
      </c>
    </row>
    <row r="206" spans="12:30">
      <c r="L206" s="29">
        <v>6.3</v>
      </c>
      <c r="M206" s="22">
        <v>3.3</v>
      </c>
      <c r="N206" s="22">
        <v>6</v>
      </c>
      <c r="O206" s="22">
        <v>2.5</v>
      </c>
      <c r="P206" s="22" t="s">
        <v>2</v>
      </c>
      <c r="Q206" s="18" t="s">
        <v>9</v>
      </c>
      <c r="R206" s="51" t="s">
        <v>9</v>
      </c>
      <c r="S206" s="18" t="s">
        <v>10</v>
      </c>
      <c r="T206" s="97" t="s">
        <v>10</v>
      </c>
      <c r="V206" s="31">
        <v>6.3</v>
      </c>
      <c r="W206" s="18">
        <v>2.7</v>
      </c>
      <c r="X206" s="18">
        <v>4.9000000000000004</v>
      </c>
      <c r="Y206" s="18">
        <v>1.8</v>
      </c>
      <c r="Z206" s="18" t="s">
        <v>2</v>
      </c>
      <c r="AA206" s="18" t="s">
        <v>9</v>
      </c>
      <c r="AB206" s="51" t="s">
        <v>8</v>
      </c>
      <c r="AC206" s="18" t="s">
        <v>10</v>
      </c>
      <c r="AD206" s="97" t="s">
        <v>10</v>
      </c>
    </row>
    <row r="207" spans="12:30">
      <c r="L207" s="29">
        <v>7.1</v>
      </c>
      <c r="M207" s="22">
        <v>3</v>
      </c>
      <c r="N207" s="22">
        <v>5.9</v>
      </c>
      <c r="O207" s="22">
        <v>2.1</v>
      </c>
      <c r="P207" s="22" t="s">
        <v>2</v>
      </c>
      <c r="Q207" s="18" t="s">
        <v>10</v>
      </c>
      <c r="R207" s="51" t="s">
        <v>9</v>
      </c>
      <c r="S207" s="18" t="s">
        <v>10</v>
      </c>
      <c r="T207" s="97" t="s">
        <v>10</v>
      </c>
      <c r="V207" s="29">
        <v>6.2</v>
      </c>
      <c r="W207" s="22">
        <v>2.8</v>
      </c>
      <c r="X207" s="22">
        <v>4.8</v>
      </c>
      <c r="Y207" s="22">
        <v>1.8</v>
      </c>
      <c r="Z207" s="22" t="s">
        <v>2</v>
      </c>
      <c r="AA207" s="18" t="s">
        <v>9</v>
      </c>
      <c r="AB207" s="51" t="s">
        <v>8</v>
      </c>
      <c r="AC207" s="18" t="s">
        <v>9</v>
      </c>
      <c r="AD207" s="97" t="s">
        <v>10</v>
      </c>
    </row>
    <row r="208" spans="12:30">
      <c r="L208" s="29">
        <v>6.5</v>
      </c>
      <c r="M208" s="22">
        <v>3</v>
      </c>
      <c r="N208" s="22">
        <v>5.8</v>
      </c>
      <c r="O208" s="22">
        <v>2.2000000000000002</v>
      </c>
      <c r="P208" s="22" t="s">
        <v>2</v>
      </c>
      <c r="Q208" s="18" t="s">
        <v>9</v>
      </c>
      <c r="R208" s="51" t="s">
        <v>9</v>
      </c>
      <c r="S208" s="18" t="s">
        <v>10</v>
      </c>
      <c r="T208" s="97" t="s">
        <v>10</v>
      </c>
      <c r="V208" s="29">
        <v>6.4</v>
      </c>
      <c r="W208" s="22">
        <v>2.8</v>
      </c>
      <c r="X208" s="22">
        <v>5.6</v>
      </c>
      <c r="Y208" s="22">
        <v>2.1</v>
      </c>
      <c r="Z208" s="22" t="s">
        <v>2</v>
      </c>
      <c r="AA208" s="18" t="s">
        <v>9</v>
      </c>
      <c r="AB208" s="51" t="s">
        <v>8</v>
      </c>
      <c r="AC208" s="18" t="s">
        <v>10</v>
      </c>
      <c r="AD208" s="97" t="s">
        <v>10</v>
      </c>
    </row>
    <row r="209" spans="12:30">
      <c r="L209" s="31">
        <v>7.6</v>
      </c>
      <c r="M209" s="18">
        <v>3</v>
      </c>
      <c r="N209" s="18">
        <v>6.6</v>
      </c>
      <c r="O209" s="18">
        <v>2.1</v>
      </c>
      <c r="P209" s="18" t="s">
        <v>2</v>
      </c>
      <c r="Q209" s="18" t="s">
        <v>10</v>
      </c>
      <c r="R209" s="51" t="s">
        <v>9</v>
      </c>
      <c r="S209" s="18" t="s">
        <v>10</v>
      </c>
      <c r="T209" s="97" t="s">
        <v>10</v>
      </c>
      <c r="V209" s="29">
        <v>7.4</v>
      </c>
      <c r="W209" s="22">
        <v>2.8</v>
      </c>
      <c r="X209" s="22">
        <v>6.1</v>
      </c>
      <c r="Y209" s="22">
        <v>1.9</v>
      </c>
      <c r="Z209" s="22" t="s">
        <v>2</v>
      </c>
      <c r="AA209" s="18" t="s">
        <v>10</v>
      </c>
      <c r="AB209" s="51" t="s">
        <v>8</v>
      </c>
      <c r="AC209" s="18" t="s">
        <v>10</v>
      </c>
      <c r="AD209" s="97" t="s">
        <v>10</v>
      </c>
    </row>
    <row r="210" spans="12:30">
      <c r="L210" s="29">
        <v>6.5</v>
      </c>
      <c r="M210" s="22">
        <v>3.2</v>
      </c>
      <c r="N210" s="22">
        <v>5.0999999999999996</v>
      </c>
      <c r="O210" s="22">
        <v>2</v>
      </c>
      <c r="P210" s="22" t="s">
        <v>2</v>
      </c>
      <c r="Q210" s="18" t="s">
        <v>9</v>
      </c>
      <c r="R210" s="51" t="s">
        <v>9</v>
      </c>
      <c r="S210" s="18" t="s">
        <v>10</v>
      </c>
      <c r="T210" s="97" t="s">
        <v>10</v>
      </c>
      <c r="V210" s="29">
        <v>6.4</v>
      </c>
      <c r="W210" s="22">
        <v>2.8</v>
      </c>
      <c r="X210" s="22">
        <v>5.6</v>
      </c>
      <c r="Y210" s="22">
        <v>2.2000000000000002</v>
      </c>
      <c r="Z210" s="22" t="s">
        <v>2</v>
      </c>
      <c r="AA210" s="18" t="s">
        <v>9</v>
      </c>
      <c r="AB210" s="51" t="s">
        <v>8</v>
      </c>
      <c r="AC210" s="18" t="s">
        <v>10</v>
      </c>
      <c r="AD210" s="97" t="s">
        <v>10</v>
      </c>
    </row>
    <row r="211" spans="12:30">
      <c r="L211" s="29">
        <v>6.8</v>
      </c>
      <c r="M211" s="22">
        <v>3</v>
      </c>
      <c r="N211" s="22">
        <v>5.5</v>
      </c>
      <c r="O211" s="22">
        <v>2.1</v>
      </c>
      <c r="P211" s="22" t="s">
        <v>2</v>
      </c>
      <c r="Q211" s="18" t="s">
        <v>10</v>
      </c>
      <c r="R211" s="51" t="s">
        <v>9</v>
      </c>
      <c r="S211" s="18" t="s">
        <v>10</v>
      </c>
      <c r="T211" s="97" t="s">
        <v>10</v>
      </c>
      <c r="V211" s="31">
        <v>6.3</v>
      </c>
      <c r="W211" s="18">
        <v>2.8</v>
      </c>
      <c r="X211" s="18">
        <v>5.0999999999999996</v>
      </c>
      <c r="Y211" s="18">
        <v>1.5</v>
      </c>
      <c r="Z211" s="18" t="s">
        <v>2</v>
      </c>
      <c r="AA211" s="18" t="s">
        <v>9</v>
      </c>
      <c r="AB211" s="51" t="s">
        <v>8</v>
      </c>
      <c r="AC211" s="18" t="s">
        <v>10</v>
      </c>
      <c r="AD211" s="97" t="s">
        <v>9</v>
      </c>
    </row>
    <row r="212" spans="12:30">
      <c r="L212" s="31">
        <v>6.4</v>
      </c>
      <c r="M212" s="18">
        <v>3.2</v>
      </c>
      <c r="N212" s="18">
        <v>5.3</v>
      </c>
      <c r="O212" s="18">
        <v>2.2999999999999998</v>
      </c>
      <c r="P212" s="18" t="s">
        <v>2</v>
      </c>
      <c r="Q212" s="18" t="s">
        <v>9</v>
      </c>
      <c r="R212" s="51" t="s">
        <v>9</v>
      </c>
      <c r="S212" s="18" t="s">
        <v>10</v>
      </c>
      <c r="T212" s="97" t="s">
        <v>10</v>
      </c>
      <c r="V212" s="29">
        <v>6.1</v>
      </c>
      <c r="W212" s="22">
        <v>2.6</v>
      </c>
      <c r="X212" s="22">
        <v>5.6</v>
      </c>
      <c r="Y212" s="22">
        <v>1.4</v>
      </c>
      <c r="Z212" s="22" t="s">
        <v>2</v>
      </c>
      <c r="AA212" s="18" t="s">
        <v>9</v>
      </c>
      <c r="AB212" s="51" t="s">
        <v>8</v>
      </c>
      <c r="AC212" s="18" t="s">
        <v>10</v>
      </c>
      <c r="AD212" s="97" t="s">
        <v>9</v>
      </c>
    </row>
    <row r="213" spans="12:30">
      <c r="L213" s="29">
        <v>6.5</v>
      </c>
      <c r="M213" s="22">
        <v>3</v>
      </c>
      <c r="N213" s="22">
        <v>5.5</v>
      </c>
      <c r="O213" s="22">
        <v>1.8</v>
      </c>
      <c r="P213" s="22" t="s">
        <v>2</v>
      </c>
      <c r="Q213" s="18" t="s">
        <v>9</v>
      </c>
      <c r="R213" s="51" t="s">
        <v>9</v>
      </c>
      <c r="S213" s="18" t="s">
        <v>10</v>
      </c>
      <c r="T213" s="97" t="s">
        <v>10</v>
      </c>
      <c r="V213" s="29">
        <v>5.8</v>
      </c>
      <c r="W213" s="22">
        <v>2.7</v>
      </c>
      <c r="X213" s="22">
        <v>5.0999999999999996</v>
      </c>
      <c r="Y213" s="22">
        <v>1.9</v>
      </c>
      <c r="Z213" s="22" t="s">
        <v>2</v>
      </c>
      <c r="AA213" s="18" t="s">
        <v>9</v>
      </c>
      <c r="AB213" s="51" t="s">
        <v>8</v>
      </c>
      <c r="AC213" s="18" t="s">
        <v>10</v>
      </c>
      <c r="AD213" s="97" t="s">
        <v>10</v>
      </c>
    </row>
    <row r="214" spans="12:30">
      <c r="L214" s="29">
        <v>6.9</v>
      </c>
      <c r="M214" s="22">
        <v>3.2</v>
      </c>
      <c r="N214" s="22">
        <v>5.7</v>
      </c>
      <c r="O214" s="22">
        <v>2.2999999999999998</v>
      </c>
      <c r="P214" s="22" t="s">
        <v>2</v>
      </c>
      <c r="Q214" s="18" t="s">
        <v>10</v>
      </c>
      <c r="R214" s="51" t="s">
        <v>9</v>
      </c>
      <c r="S214" s="18" t="s">
        <v>10</v>
      </c>
      <c r="T214" s="97" t="s">
        <v>10</v>
      </c>
      <c r="V214" s="32">
        <v>6.3</v>
      </c>
      <c r="W214" s="33">
        <v>2.5</v>
      </c>
      <c r="X214" s="33">
        <v>5</v>
      </c>
      <c r="Y214" s="33">
        <v>1.9</v>
      </c>
      <c r="Z214" s="33" t="s">
        <v>2</v>
      </c>
      <c r="AA214" s="47" t="s">
        <v>9</v>
      </c>
      <c r="AB214" s="54" t="s">
        <v>8</v>
      </c>
      <c r="AC214" s="47" t="s">
        <v>10</v>
      </c>
      <c r="AD214" s="98" t="s">
        <v>10</v>
      </c>
    </row>
    <row r="215" spans="12:30">
      <c r="L215" s="29">
        <v>6.7</v>
      </c>
      <c r="M215" s="22">
        <v>3.3</v>
      </c>
      <c r="N215" s="22">
        <v>5.7</v>
      </c>
      <c r="O215" s="22">
        <v>2.1</v>
      </c>
      <c r="P215" s="22" t="s">
        <v>2</v>
      </c>
      <c r="Q215" s="18" t="s">
        <v>10</v>
      </c>
      <c r="R215" s="51" t="s">
        <v>9</v>
      </c>
      <c r="S215" s="18" t="s">
        <v>10</v>
      </c>
      <c r="T215" s="97" t="s">
        <v>10</v>
      </c>
      <c r="V215" s="8"/>
      <c r="W215" s="8"/>
      <c r="X215" s="8"/>
      <c r="Y215" s="8"/>
      <c r="Z215" s="8"/>
      <c r="AA215" s="8"/>
      <c r="AB215" s="8"/>
      <c r="AC215" s="8"/>
      <c r="AD215" s="8"/>
    </row>
    <row r="216" spans="12:30">
      <c r="L216" s="31">
        <v>7.2</v>
      </c>
      <c r="M216" s="18">
        <v>3.2</v>
      </c>
      <c r="N216" s="18">
        <v>6</v>
      </c>
      <c r="O216" s="18">
        <v>1.8</v>
      </c>
      <c r="P216" s="18" t="s">
        <v>2</v>
      </c>
      <c r="Q216" s="18" t="s">
        <v>10</v>
      </c>
      <c r="R216" s="51" t="s">
        <v>9</v>
      </c>
      <c r="S216" s="18" t="s">
        <v>10</v>
      </c>
      <c r="T216" s="97" t="s">
        <v>10</v>
      </c>
      <c r="V216" s="8"/>
      <c r="W216" s="8"/>
      <c r="X216" s="8"/>
      <c r="Y216" s="8"/>
      <c r="Z216" s="8"/>
      <c r="AA216" s="8"/>
      <c r="AB216" s="8"/>
      <c r="AC216" s="8"/>
      <c r="AD216" s="8"/>
    </row>
    <row r="217" spans="12:30">
      <c r="L217" s="31">
        <v>6.1</v>
      </c>
      <c r="M217" s="18">
        <v>3</v>
      </c>
      <c r="N217" s="18">
        <v>4.9000000000000004</v>
      </c>
      <c r="O217" s="18">
        <v>1.8</v>
      </c>
      <c r="P217" s="18" t="s">
        <v>2</v>
      </c>
      <c r="Q217" s="18" t="s">
        <v>9</v>
      </c>
      <c r="R217" s="51" t="s">
        <v>9</v>
      </c>
      <c r="S217" s="18" t="s">
        <v>10</v>
      </c>
      <c r="T217" s="97" t="s">
        <v>10</v>
      </c>
    </row>
    <row r="218" spans="12:30">
      <c r="L218" s="31">
        <v>7.2</v>
      </c>
      <c r="M218" s="18">
        <v>3</v>
      </c>
      <c r="N218" s="18">
        <v>5.8</v>
      </c>
      <c r="O218" s="18">
        <v>1.6</v>
      </c>
      <c r="P218" s="18" t="s">
        <v>2</v>
      </c>
      <c r="Q218" s="18" t="s">
        <v>10</v>
      </c>
      <c r="R218" s="51" t="s">
        <v>9</v>
      </c>
      <c r="S218" s="18" t="s">
        <v>10</v>
      </c>
      <c r="T218" s="97" t="s">
        <v>9</v>
      </c>
    </row>
    <row r="219" spans="12:30">
      <c r="L219" s="29">
        <v>7.7</v>
      </c>
      <c r="M219" s="22">
        <v>3</v>
      </c>
      <c r="N219" s="22">
        <v>6.1</v>
      </c>
      <c r="O219" s="22">
        <v>2.2999999999999998</v>
      </c>
      <c r="P219" s="22" t="s">
        <v>2</v>
      </c>
      <c r="Q219" s="23" t="s">
        <v>10</v>
      </c>
      <c r="R219" s="51" t="s">
        <v>9</v>
      </c>
      <c r="S219" s="18" t="s">
        <v>10</v>
      </c>
      <c r="T219" s="97" t="s">
        <v>10</v>
      </c>
    </row>
    <row r="220" spans="12:30">
      <c r="L220" s="29">
        <v>6.3</v>
      </c>
      <c r="M220" s="22">
        <v>3.4</v>
      </c>
      <c r="N220" s="22">
        <v>5.6</v>
      </c>
      <c r="O220" s="22">
        <v>2.4</v>
      </c>
      <c r="P220" s="22" t="s">
        <v>2</v>
      </c>
      <c r="Q220" s="23" t="s">
        <v>9</v>
      </c>
      <c r="R220" s="51" t="s">
        <v>9</v>
      </c>
      <c r="S220" s="18" t="s">
        <v>10</v>
      </c>
      <c r="T220" s="97" t="s">
        <v>10</v>
      </c>
    </row>
    <row r="221" spans="12:30">
      <c r="L221" s="29">
        <v>6.4</v>
      </c>
      <c r="M221" s="22">
        <v>3.1</v>
      </c>
      <c r="N221" s="22">
        <v>5.5</v>
      </c>
      <c r="O221" s="22">
        <v>1.8</v>
      </c>
      <c r="P221" s="22" t="s">
        <v>2</v>
      </c>
      <c r="Q221" s="23" t="s">
        <v>9</v>
      </c>
      <c r="R221" s="51" t="s">
        <v>9</v>
      </c>
      <c r="S221" s="18" t="s">
        <v>10</v>
      </c>
      <c r="T221" s="97" t="s">
        <v>10</v>
      </c>
    </row>
    <row r="222" spans="12:30">
      <c r="L222" s="29">
        <v>6</v>
      </c>
      <c r="M222" s="22">
        <v>3</v>
      </c>
      <c r="N222" s="22">
        <v>4.8</v>
      </c>
      <c r="O222" s="22">
        <v>1.8</v>
      </c>
      <c r="P222" s="22" t="s">
        <v>2</v>
      </c>
      <c r="Q222" s="23" t="s">
        <v>9</v>
      </c>
      <c r="R222" s="51" t="s">
        <v>9</v>
      </c>
      <c r="S222" s="18" t="s">
        <v>9</v>
      </c>
      <c r="T222" s="97" t="s">
        <v>10</v>
      </c>
    </row>
    <row r="223" spans="12:30">
      <c r="L223" s="29">
        <v>6.9</v>
      </c>
      <c r="M223" s="22">
        <v>3.1</v>
      </c>
      <c r="N223" s="22">
        <v>5.4</v>
      </c>
      <c r="O223" s="22">
        <v>2.1</v>
      </c>
      <c r="P223" s="22" t="s">
        <v>2</v>
      </c>
      <c r="Q223" s="23" t="s">
        <v>10</v>
      </c>
      <c r="R223" s="51" t="s">
        <v>9</v>
      </c>
      <c r="S223" s="18" t="s">
        <v>10</v>
      </c>
      <c r="T223" s="97" t="s">
        <v>10</v>
      </c>
    </row>
    <row r="224" spans="12:30">
      <c r="L224" s="29">
        <v>6.7</v>
      </c>
      <c r="M224" s="22">
        <v>3.1</v>
      </c>
      <c r="N224" s="22">
        <v>5.6</v>
      </c>
      <c r="O224" s="22">
        <v>2.4</v>
      </c>
      <c r="P224" s="22" t="s">
        <v>2</v>
      </c>
      <c r="Q224" s="23" t="s">
        <v>10</v>
      </c>
      <c r="R224" s="51" t="s">
        <v>9</v>
      </c>
      <c r="S224" s="18" t="s">
        <v>10</v>
      </c>
      <c r="T224" s="97" t="s">
        <v>10</v>
      </c>
    </row>
    <row r="225" spans="12:20">
      <c r="L225" s="29">
        <v>6.9</v>
      </c>
      <c r="M225" s="22">
        <v>3.1</v>
      </c>
      <c r="N225" s="22">
        <v>5.0999999999999996</v>
      </c>
      <c r="O225" s="22">
        <v>2.2999999999999998</v>
      </c>
      <c r="P225" s="22" t="s">
        <v>2</v>
      </c>
      <c r="Q225" s="23" t="s">
        <v>10</v>
      </c>
      <c r="R225" s="51" t="s">
        <v>9</v>
      </c>
      <c r="S225" s="18" t="s">
        <v>10</v>
      </c>
      <c r="T225" s="97" t="s">
        <v>10</v>
      </c>
    </row>
    <row r="226" spans="12:20">
      <c r="L226" s="29">
        <v>6.8</v>
      </c>
      <c r="M226" s="22">
        <v>3.2</v>
      </c>
      <c r="N226" s="22">
        <v>5.9</v>
      </c>
      <c r="O226" s="22">
        <v>2.2999999999999998</v>
      </c>
      <c r="P226" s="22" t="s">
        <v>2</v>
      </c>
      <c r="Q226" s="23" t="s">
        <v>10</v>
      </c>
      <c r="R226" s="51" t="s">
        <v>9</v>
      </c>
      <c r="S226" s="18" t="s">
        <v>10</v>
      </c>
      <c r="T226" s="97" t="s">
        <v>10</v>
      </c>
    </row>
    <row r="227" spans="12:20">
      <c r="L227" s="29">
        <v>6.7</v>
      </c>
      <c r="M227" s="22">
        <v>3.3</v>
      </c>
      <c r="N227" s="22">
        <v>5.7</v>
      </c>
      <c r="O227" s="22">
        <v>2.5</v>
      </c>
      <c r="P227" s="22" t="s">
        <v>2</v>
      </c>
      <c r="Q227" s="23" t="s">
        <v>10</v>
      </c>
      <c r="R227" s="51" t="s">
        <v>9</v>
      </c>
      <c r="S227" s="18" t="s">
        <v>10</v>
      </c>
      <c r="T227" s="97" t="s">
        <v>10</v>
      </c>
    </row>
    <row r="228" spans="12:20">
      <c r="L228" s="29">
        <v>6.7</v>
      </c>
      <c r="M228" s="22">
        <v>3</v>
      </c>
      <c r="N228" s="22">
        <v>5.2</v>
      </c>
      <c r="O228" s="22">
        <v>2.2999999999999998</v>
      </c>
      <c r="P228" s="22" t="s">
        <v>2</v>
      </c>
      <c r="Q228" s="23" t="s">
        <v>10</v>
      </c>
      <c r="R228" s="51" t="s">
        <v>9</v>
      </c>
      <c r="S228" s="18" t="s">
        <v>10</v>
      </c>
      <c r="T228" s="97" t="s">
        <v>10</v>
      </c>
    </row>
    <row r="229" spans="12:20">
      <c r="L229" s="29">
        <v>6.5</v>
      </c>
      <c r="M229" s="22">
        <v>3</v>
      </c>
      <c r="N229" s="22">
        <v>5.2</v>
      </c>
      <c r="O229" s="22">
        <v>2</v>
      </c>
      <c r="P229" s="22" t="s">
        <v>2</v>
      </c>
      <c r="Q229" s="23" t="s">
        <v>9</v>
      </c>
      <c r="R229" s="51" t="s">
        <v>9</v>
      </c>
      <c r="S229" s="18" t="s">
        <v>10</v>
      </c>
      <c r="T229" s="97" t="s">
        <v>10</v>
      </c>
    </row>
    <row r="230" spans="12:20">
      <c r="L230" s="29">
        <v>6.2</v>
      </c>
      <c r="M230" s="22">
        <v>3.4</v>
      </c>
      <c r="N230" s="22">
        <v>5.4</v>
      </c>
      <c r="O230" s="22">
        <v>2.2999999999999998</v>
      </c>
      <c r="P230" s="22" t="s">
        <v>2</v>
      </c>
      <c r="Q230" s="23" t="s">
        <v>9</v>
      </c>
      <c r="R230" s="51" t="s">
        <v>9</v>
      </c>
      <c r="S230" s="18" t="s">
        <v>10</v>
      </c>
      <c r="T230" s="97" t="s">
        <v>10</v>
      </c>
    </row>
    <row r="231" spans="12:20">
      <c r="L231" s="32">
        <v>5.9</v>
      </c>
      <c r="M231" s="33">
        <v>3</v>
      </c>
      <c r="N231" s="33">
        <v>5.0999999999999996</v>
      </c>
      <c r="O231" s="33">
        <v>1.8</v>
      </c>
      <c r="P231" s="33" t="s">
        <v>2</v>
      </c>
      <c r="Q231" s="34" t="s">
        <v>9</v>
      </c>
      <c r="R231" s="54" t="s">
        <v>9</v>
      </c>
      <c r="S231" s="47" t="s">
        <v>10</v>
      </c>
      <c r="T231" s="98" t="s">
        <v>10</v>
      </c>
    </row>
  </sheetData>
  <pageMargins left="0.7" right="0.7" top="0.75" bottom="0.75" header="0.3" footer="0.3"/>
  <pageSetup paperSize="9" orientation="portrait" horizontalDpi="1200" verticalDpi="1200" r:id="rId1"/>
  <drawing r:id="rId2"/>
  <tableParts count="5"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08A5-BE5C-4C12-BE1E-A89BF552726B}">
  <dimension ref="B1:AD231"/>
  <sheetViews>
    <sheetView zoomScale="80" zoomScaleNormal="80" workbookViewId="0">
      <selection activeCell="AD158" sqref="AD158"/>
    </sheetView>
  </sheetViews>
  <sheetFormatPr baseColWidth="10" defaultRowHeight="15"/>
  <cols>
    <col min="2" max="2" width="18.7109375" customWidth="1"/>
    <col min="3" max="3" width="18.28515625" customWidth="1"/>
    <col min="4" max="5" width="18.7109375" customWidth="1"/>
    <col min="6" max="6" width="14.7109375" customWidth="1"/>
    <col min="7" max="7" width="20.140625" customWidth="1"/>
    <col min="8" max="8" width="18.85546875" customWidth="1"/>
    <col min="9" max="9" width="19.7109375" customWidth="1"/>
    <col min="10" max="10" width="17.85546875" customWidth="1"/>
    <col min="11" max="11" width="17.140625" customWidth="1"/>
    <col min="12" max="12" width="18.7109375" customWidth="1"/>
    <col min="13" max="13" width="17" customWidth="1"/>
    <col min="14" max="14" width="18.7109375" customWidth="1"/>
    <col min="15" max="15" width="16.85546875" customWidth="1"/>
    <col min="16" max="16" width="11.5703125" customWidth="1"/>
    <col min="17" max="17" width="19.7109375" customWidth="1"/>
    <col min="18" max="18" width="18" customWidth="1"/>
    <col min="19" max="19" width="19.7109375" customWidth="1"/>
    <col min="20" max="20" width="17.85546875" customWidth="1"/>
    <col min="22" max="22" width="18.7109375" customWidth="1"/>
    <col min="23" max="23" width="17" customWidth="1"/>
    <col min="24" max="24" width="18.7109375" customWidth="1"/>
    <col min="25" max="25" width="16.85546875" customWidth="1"/>
    <col min="27" max="27" width="19.7109375" customWidth="1"/>
    <col min="28" max="28" width="18" customWidth="1"/>
    <col min="29" max="29" width="19.7109375" customWidth="1"/>
    <col min="30" max="30" width="17.85546875" customWidth="1"/>
  </cols>
  <sheetData>
    <row r="1" spans="2:11">
      <c r="B1" s="90" t="s">
        <v>20</v>
      </c>
      <c r="C1" s="90" t="s">
        <v>21</v>
      </c>
      <c r="D1" s="90" t="s">
        <v>22</v>
      </c>
      <c r="E1" s="90" t="s">
        <v>23</v>
      </c>
      <c r="F1" s="90" t="s">
        <v>24</v>
      </c>
      <c r="G1" s="90" t="s">
        <v>20</v>
      </c>
      <c r="H1" s="91" t="s">
        <v>21</v>
      </c>
      <c r="I1" s="91" t="s">
        <v>22</v>
      </c>
      <c r="J1" s="91" t="s">
        <v>23</v>
      </c>
      <c r="K1" s="91" t="s">
        <v>24</v>
      </c>
    </row>
    <row r="2" spans="2:11">
      <c r="B2" s="92">
        <v>4.3</v>
      </c>
      <c r="C2" s="92">
        <v>3</v>
      </c>
      <c r="D2" s="92">
        <v>1.1000000000000001</v>
      </c>
      <c r="E2" s="92">
        <v>0.1</v>
      </c>
      <c r="F2" s="92" t="s">
        <v>25</v>
      </c>
      <c r="G2" s="92" t="str">
        <f>IF([1]!DataIris[[#This Row],[Largo de sépalo]]&lt;=5.5,"CORTO",IF([1]!DataIris[[#This Row],[Largo de sépalo]]&lt;=6.7,"MEDIANO","LARGO"))</f>
        <v>CORTO</v>
      </c>
      <c r="H2" s="92" t="str">
        <f>IF([1]!DataIris[[#This Row],[Ancho de sépalo]]&lt;=3.2,"ESTRECHO","ANCHO")</f>
        <v>ESTRECHO</v>
      </c>
      <c r="I2" s="92" t="str">
        <f>IF([1]!DataIris[[#This Row],[Largo de pétalo]]&lt;=3,"CORTO",IF([1]!DataIris[[#This Row],[Largo de pétalo]]&lt;=5,"MEDIANO","LARGO"))</f>
        <v>CORTO</v>
      </c>
      <c r="J2" s="92" t="str">
        <f>IF([1]!DataIris[[#This Row],[Ancho de pétalo]]&lt;=1.4,"ESTRECHO","ANCHO")</f>
        <v>ESTRECHO</v>
      </c>
      <c r="K2" s="92" t="s">
        <v>25</v>
      </c>
    </row>
    <row r="3" spans="2:11">
      <c r="B3" s="92">
        <v>4.4000000000000004</v>
      </c>
      <c r="C3" s="92">
        <v>3</v>
      </c>
      <c r="D3" s="92">
        <v>1.3</v>
      </c>
      <c r="E3" s="92">
        <v>0.2</v>
      </c>
      <c r="F3" s="92" t="s">
        <v>25</v>
      </c>
      <c r="G3" s="92" t="str">
        <f>IF([1]!DataIris[[#This Row],[Largo de sépalo]]&lt;=5.5,"CORTO",IF([1]!DataIris[[#This Row],[Largo de sépalo]]&lt;=6.7,"MEDIANO","LARGO"))</f>
        <v>CORTO</v>
      </c>
      <c r="H3" s="92" t="str">
        <f>IF([1]!DataIris[[#This Row],[Ancho de sépalo]]&lt;=3.2,"ESTRECHO","ANCHO")</f>
        <v>ESTRECHO</v>
      </c>
      <c r="I3" s="92" t="str">
        <f>IF([1]!DataIris[[#This Row],[Largo de pétalo]]&lt;=3,"CORTO",IF([1]!DataIris[[#This Row],[Largo de pétalo]]&lt;=5,"MEDIANO","LARGO"))</f>
        <v>CORTO</v>
      </c>
      <c r="J3" s="92" t="str">
        <f>IF([1]!DataIris[[#This Row],[Ancho de pétalo]]&lt;=1.4,"ESTRECHO","ANCHO")</f>
        <v>ESTRECHO</v>
      </c>
      <c r="K3" s="92" t="s">
        <v>26</v>
      </c>
    </row>
    <row r="4" spans="2:11">
      <c r="B4" s="92">
        <v>4.4000000000000004</v>
      </c>
      <c r="C4" s="92">
        <v>3.2</v>
      </c>
      <c r="D4" s="92">
        <v>1.3</v>
      </c>
      <c r="E4" s="92">
        <v>0.2</v>
      </c>
      <c r="F4" s="92" t="s">
        <v>25</v>
      </c>
      <c r="G4" s="92" t="str">
        <f>IF([1]!DataIris[[#This Row],[Largo de sépalo]]&lt;=5.5,"CORTO",IF([1]!DataIris[[#This Row],[Largo de sépalo]]&lt;=6.7,"MEDIANO","LARGO"))</f>
        <v>CORTO</v>
      </c>
      <c r="H4" s="92" t="str">
        <f>IF([1]!DataIris[[#This Row],[Ancho de sépalo]]&lt;=3.2,"ESTRECHO","ANCHO")</f>
        <v>ESTRECHO</v>
      </c>
      <c r="I4" s="92" t="str">
        <f>IF([1]!DataIris[[#This Row],[Largo de pétalo]]&lt;=3,"CORTO",IF([1]!DataIris[[#This Row],[Largo de pétalo]]&lt;=5,"MEDIANO","LARGO"))</f>
        <v>CORTO</v>
      </c>
      <c r="J4" s="92" t="str">
        <f>IF([1]!DataIris[[#This Row],[Ancho de pétalo]]&lt;=1.4,"ESTRECHO","ANCHO")</f>
        <v>ESTRECHO</v>
      </c>
      <c r="K4" s="92" t="s">
        <v>25</v>
      </c>
    </row>
    <row r="5" spans="2:11">
      <c r="B5" s="92">
        <v>4.4000000000000004</v>
      </c>
      <c r="C5" s="92">
        <v>2.9</v>
      </c>
      <c r="D5" s="92">
        <v>1.4</v>
      </c>
      <c r="E5" s="92">
        <v>0.2</v>
      </c>
      <c r="F5" s="92" t="s">
        <v>25</v>
      </c>
      <c r="G5" s="92" t="str">
        <f>IF([1]!DataIris[[#This Row],[Largo de sépalo]]&lt;=5.5,"CORTO",IF([1]!DataIris[[#This Row],[Largo de sépalo]]&lt;=6.7,"MEDIANO","LARGO"))</f>
        <v>CORTO</v>
      </c>
      <c r="H5" s="92" t="str">
        <f>IF([1]!DataIris[[#This Row],[Ancho de sépalo]]&lt;=3.2,"ESTRECHO","ANCHO")</f>
        <v>ESTRECHO</v>
      </c>
      <c r="I5" s="92" t="str">
        <f>IF([1]!DataIris[[#This Row],[Largo de pétalo]]&lt;=3,"CORTO",IF([1]!DataIris[[#This Row],[Largo de pétalo]]&lt;=5,"MEDIANO","LARGO"))</f>
        <v>CORTO</v>
      </c>
      <c r="J5" s="92" t="str">
        <f>IF([1]!DataIris[[#This Row],[Ancho de pétalo]]&lt;=1.4,"ESTRECHO","ANCHO")</f>
        <v>ESTRECHO</v>
      </c>
      <c r="K5" s="92" t="s">
        <v>27</v>
      </c>
    </row>
    <row r="6" spans="2:11">
      <c r="B6" s="92">
        <v>4.5</v>
      </c>
      <c r="C6" s="92">
        <v>2.2999999999999998</v>
      </c>
      <c r="D6" s="92">
        <v>1.3</v>
      </c>
      <c r="E6" s="92">
        <v>0.3</v>
      </c>
      <c r="F6" s="92" t="s">
        <v>25</v>
      </c>
      <c r="G6" s="92" t="str">
        <f>IF([1]!DataIris[[#This Row],[Largo de sépalo]]&lt;=5.5,"CORTO",IF([1]!DataIris[[#This Row],[Largo de sépalo]]&lt;=6.7,"MEDIANO","LARGO"))</f>
        <v>CORTO</v>
      </c>
      <c r="H6" s="92" t="str">
        <f>IF([1]!DataIris[[#This Row],[Ancho de sépalo]]&lt;=3.2,"ESTRECHO","ANCHO")</f>
        <v>ESTRECHO</v>
      </c>
      <c r="I6" s="92" t="str">
        <f>IF([1]!DataIris[[#This Row],[Largo de pétalo]]&lt;=3,"CORTO",IF([1]!DataIris[[#This Row],[Largo de pétalo]]&lt;=5,"MEDIANO","LARGO"))</f>
        <v>CORTO</v>
      </c>
      <c r="J6" s="92" t="str">
        <f>IF([1]!DataIris[[#This Row],[Ancho de pétalo]]&lt;=1.4,"ESTRECHO","ANCHO")</f>
        <v>ESTRECHO</v>
      </c>
      <c r="K6" s="92" t="s">
        <v>26</v>
      </c>
    </row>
    <row r="7" spans="2:11">
      <c r="B7" s="92">
        <v>4.5999999999999996</v>
      </c>
      <c r="C7" s="92">
        <v>3.6</v>
      </c>
      <c r="D7" s="92">
        <v>1</v>
      </c>
      <c r="E7" s="92">
        <v>0.2</v>
      </c>
      <c r="F7" s="92" t="s">
        <v>25</v>
      </c>
      <c r="G7" s="92" t="str">
        <f>IF([1]!DataIris[[#This Row],[Largo de sépalo]]&lt;=5.5,"CORTO",IF([1]!DataIris[[#This Row],[Largo de sépalo]]&lt;=6.7,"MEDIANO","LARGO"))</f>
        <v>CORTO</v>
      </c>
      <c r="H7" s="92" t="str">
        <f>IF([1]!DataIris[[#This Row],[Ancho de sépalo]]&lt;=3.2,"ESTRECHO","ANCHO")</f>
        <v>ANCHO</v>
      </c>
      <c r="I7" s="92" t="str">
        <f>IF([1]!DataIris[[#This Row],[Largo de pétalo]]&lt;=3,"CORTO",IF([1]!DataIris[[#This Row],[Largo de pétalo]]&lt;=5,"MEDIANO","LARGO"))</f>
        <v>CORTO</v>
      </c>
      <c r="J7" s="92" t="str">
        <f>IF([1]!DataIris[[#This Row],[Ancho de pétalo]]&lt;=1.4,"ESTRECHO","ANCHO")</f>
        <v>ESTRECHO</v>
      </c>
      <c r="K7" s="92" t="s">
        <v>26</v>
      </c>
    </row>
    <row r="8" spans="2:11">
      <c r="B8" s="92">
        <v>4.5999999999999996</v>
      </c>
      <c r="C8" s="92">
        <v>3.2</v>
      </c>
      <c r="D8" s="92">
        <v>1.4</v>
      </c>
      <c r="E8" s="92">
        <v>0.2</v>
      </c>
      <c r="F8" s="92" t="s">
        <v>25</v>
      </c>
      <c r="G8" s="92" t="str">
        <f>IF([1]!DataIris[[#This Row],[Largo de sépalo]]&lt;=5.5,"CORTO",IF([1]!DataIris[[#This Row],[Largo de sépalo]]&lt;=6.7,"MEDIANO","LARGO"))</f>
        <v>CORTO</v>
      </c>
      <c r="H8" s="92" t="str">
        <f>IF([1]!DataIris[[#This Row],[Ancho de sépalo]]&lt;=3.2,"ESTRECHO","ANCHO")</f>
        <v>ESTRECHO</v>
      </c>
      <c r="I8" s="92" t="str">
        <f>IF([1]!DataIris[[#This Row],[Largo de pétalo]]&lt;=3,"CORTO",IF([1]!DataIris[[#This Row],[Largo de pétalo]]&lt;=5,"MEDIANO","LARGO"))</f>
        <v>CORTO</v>
      </c>
      <c r="J8" s="92" t="str">
        <f>IF([1]!DataIris[[#This Row],[Ancho de pétalo]]&lt;=1.4,"ESTRECHO","ANCHO")</f>
        <v>ESTRECHO</v>
      </c>
      <c r="K8" s="92" t="s">
        <v>25</v>
      </c>
    </row>
    <row r="9" spans="2:11">
      <c r="B9" s="92">
        <v>4.5999999999999996</v>
      </c>
      <c r="C9" s="92">
        <v>3.1</v>
      </c>
      <c r="D9" s="92">
        <v>1.5</v>
      </c>
      <c r="E9" s="92">
        <v>0.2</v>
      </c>
      <c r="F9" s="92" t="s">
        <v>25</v>
      </c>
      <c r="G9" s="92" t="str">
        <f>IF([1]!DataIris[[#This Row],[Largo de sépalo]]&lt;=5.5,"CORTO",IF([1]!DataIris[[#This Row],[Largo de sépalo]]&lt;=6.7,"MEDIANO","LARGO"))</f>
        <v>CORTO</v>
      </c>
      <c r="H9" s="92" t="str">
        <f>IF([1]!DataIris[[#This Row],[Ancho de sépalo]]&lt;=3.2,"ESTRECHO","ANCHO")</f>
        <v>ESTRECHO</v>
      </c>
      <c r="I9" s="92" t="str">
        <f>IF([1]!DataIris[[#This Row],[Largo de pétalo]]&lt;=3,"CORTO",IF([1]!DataIris[[#This Row],[Largo de pétalo]]&lt;=5,"MEDIANO","LARGO"))</f>
        <v>CORTO</v>
      </c>
      <c r="J9" s="92" t="str">
        <f>IF([1]!DataIris[[#This Row],[Ancho de pétalo]]&lt;=1.4,"ESTRECHO","ANCHO")</f>
        <v>ESTRECHO</v>
      </c>
      <c r="K9" s="92" t="s">
        <v>27</v>
      </c>
    </row>
    <row r="10" spans="2:11">
      <c r="B10" s="92">
        <v>4.5999999999999996</v>
      </c>
      <c r="C10" s="92">
        <v>3.4</v>
      </c>
      <c r="D10" s="92">
        <v>1.4</v>
      </c>
      <c r="E10" s="92">
        <v>0.3</v>
      </c>
      <c r="F10" s="92" t="s">
        <v>25</v>
      </c>
      <c r="G10" s="92" t="str">
        <f>IF([1]!DataIris[[#This Row],[Largo de sépalo]]&lt;=5.5,"CORTO",IF([1]!DataIris[[#This Row],[Largo de sépalo]]&lt;=6.7,"MEDIANO","LARGO"))</f>
        <v>CORTO</v>
      </c>
      <c r="H10" s="92" t="str">
        <f>IF([1]!DataIris[[#This Row],[Ancho de sépalo]]&lt;=3.2,"ESTRECHO","ANCHO")</f>
        <v>ANCHO</v>
      </c>
      <c r="I10" s="92" t="str">
        <f>IF([1]!DataIris[[#This Row],[Largo de pétalo]]&lt;=3,"CORTO",IF([1]!DataIris[[#This Row],[Largo de pétalo]]&lt;=5,"MEDIANO","LARGO"))</f>
        <v>CORTO</v>
      </c>
      <c r="J10" s="92" t="str">
        <f>IF([1]!DataIris[[#This Row],[Ancho de pétalo]]&lt;=1.4,"ESTRECHO","ANCHO")</f>
        <v>ESTRECHO</v>
      </c>
      <c r="K10" s="92" t="s">
        <v>27</v>
      </c>
    </row>
    <row r="11" spans="2:11">
      <c r="B11" s="92">
        <v>4.7</v>
      </c>
      <c r="C11" s="92">
        <v>3.2</v>
      </c>
      <c r="D11" s="92">
        <v>1.3</v>
      </c>
      <c r="E11" s="92">
        <v>0.2</v>
      </c>
      <c r="F11" s="92" t="s">
        <v>25</v>
      </c>
      <c r="G11" s="92" t="str">
        <f>IF([1]!DataIris[[#This Row],[Largo de sépalo]]&lt;=5.5,"CORTO",IF([1]!DataIris[[#This Row],[Largo de sépalo]]&lt;=6.7,"MEDIANO","LARGO"))</f>
        <v>CORTO</v>
      </c>
      <c r="H11" s="92" t="str">
        <f>IF([1]!DataIris[[#This Row],[Ancho de sépalo]]&lt;=3.2,"ESTRECHO","ANCHO")</f>
        <v>ESTRECHO</v>
      </c>
      <c r="I11" s="92" t="str">
        <f>IF([1]!DataIris[[#This Row],[Largo de pétalo]]&lt;=3,"CORTO",IF([1]!DataIris[[#This Row],[Largo de pétalo]]&lt;=5,"MEDIANO","LARGO"))</f>
        <v>CORTO</v>
      </c>
      <c r="J11" s="92" t="str">
        <f>IF([1]!DataIris[[#This Row],[Ancho de pétalo]]&lt;=1.4,"ESTRECHO","ANCHO")</f>
        <v>ESTRECHO</v>
      </c>
      <c r="K11" s="92" t="s">
        <v>26</v>
      </c>
    </row>
    <row r="12" spans="2:11">
      <c r="B12" s="92">
        <v>4.7</v>
      </c>
      <c r="C12" s="92">
        <v>3.2</v>
      </c>
      <c r="D12" s="92">
        <v>1.6</v>
      </c>
      <c r="E12" s="92">
        <v>0.2</v>
      </c>
      <c r="F12" s="92" t="s">
        <v>25</v>
      </c>
      <c r="G12" s="92" t="str">
        <f>IF([1]!DataIris[[#This Row],[Largo de sépalo]]&lt;=5.5,"CORTO",IF([1]!DataIris[[#This Row],[Largo de sépalo]]&lt;=6.7,"MEDIANO","LARGO"))</f>
        <v>CORTO</v>
      </c>
      <c r="H12" s="92" t="str">
        <f>IF([1]!DataIris[[#This Row],[Ancho de sépalo]]&lt;=3.2,"ESTRECHO","ANCHO")</f>
        <v>ESTRECHO</v>
      </c>
      <c r="I12" s="92" t="str">
        <f>IF([1]!DataIris[[#This Row],[Largo de pétalo]]&lt;=3,"CORTO",IF([1]!DataIris[[#This Row],[Largo de pétalo]]&lt;=5,"MEDIANO","LARGO"))</f>
        <v>CORTO</v>
      </c>
      <c r="J12" s="92" t="str">
        <f>IF([1]!DataIris[[#This Row],[Ancho de pétalo]]&lt;=1.4,"ESTRECHO","ANCHO")</f>
        <v>ESTRECHO</v>
      </c>
      <c r="K12" s="92" t="s">
        <v>26</v>
      </c>
    </row>
    <row r="13" spans="2:11">
      <c r="B13" s="92">
        <v>4.8</v>
      </c>
      <c r="C13" s="92">
        <v>3</v>
      </c>
      <c r="D13" s="92">
        <v>1.4</v>
      </c>
      <c r="E13" s="92">
        <v>0.1</v>
      </c>
      <c r="F13" s="92" t="s">
        <v>25</v>
      </c>
      <c r="G13" s="92" t="str">
        <f>IF([1]!DataIris[[#This Row],[Largo de sépalo]]&lt;=5.5,"CORTO",IF([1]!DataIris[[#This Row],[Largo de sépalo]]&lt;=6.7,"MEDIANO","LARGO"))</f>
        <v>CORTO</v>
      </c>
      <c r="H13" s="92" t="str">
        <f>IF([1]!DataIris[[#This Row],[Ancho de sépalo]]&lt;=3.2,"ESTRECHO","ANCHO")</f>
        <v>ESTRECHO</v>
      </c>
      <c r="I13" s="92" t="str">
        <f>IF([1]!DataIris[[#This Row],[Largo de pétalo]]&lt;=3,"CORTO",IF([1]!DataIris[[#This Row],[Largo de pétalo]]&lt;=5,"MEDIANO","LARGO"))</f>
        <v>CORTO</v>
      </c>
      <c r="J13" s="92" t="str">
        <f>IF([1]!DataIris[[#This Row],[Ancho de pétalo]]&lt;=1.4,"ESTRECHO","ANCHO")</f>
        <v>ESTRECHO</v>
      </c>
      <c r="K13" s="92" t="s">
        <v>26</v>
      </c>
    </row>
    <row r="14" spans="2:11">
      <c r="B14" s="92">
        <v>4.8</v>
      </c>
      <c r="C14" s="92">
        <v>3.1</v>
      </c>
      <c r="D14" s="92">
        <v>1.6</v>
      </c>
      <c r="E14" s="92">
        <v>0.2</v>
      </c>
      <c r="F14" s="92" t="s">
        <v>25</v>
      </c>
      <c r="G14" s="92" t="str">
        <f>IF([1]!DataIris[[#This Row],[Largo de sépalo]]&lt;=5.5,"CORTO",IF([1]!DataIris[[#This Row],[Largo de sépalo]]&lt;=6.7,"MEDIANO","LARGO"))</f>
        <v>CORTO</v>
      </c>
      <c r="H14" s="92" t="str">
        <f>IF([1]!DataIris[[#This Row],[Ancho de sépalo]]&lt;=3.2,"ESTRECHO","ANCHO")</f>
        <v>ESTRECHO</v>
      </c>
      <c r="I14" s="92" t="str">
        <f>IF([1]!DataIris[[#This Row],[Largo de pétalo]]&lt;=3,"CORTO",IF([1]!DataIris[[#This Row],[Largo de pétalo]]&lt;=5,"MEDIANO","LARGO"))</f>
        <v>CORTO</v>
      </c>
      <c r="J14" s="92" t="str">
        <f>IF([1]!DataIris[[#This Row],[Ancho de pétalo]]&lt;=1.4,"ESTRECHO","ANCHO")</f>
        <v>ESTRECHO</v>
      </c>
      <c r="K14" s="92" t="s">
        <v>26</v>
      </c>
    </row>
    <row r="15" spans="2:11">
      <c r="B15" s="92">
        <v>4.8</v>
      </c>
      <c r="C15" s="92">
        <v>3.4</v>
      </c>
      <c r="D15" s="92">
        <v>1.6</v>
      </c>
      <c r="E15" s="92">
        <v>0.2</v>
      </c>
      <c r="F15" s="92" t="s">
        <v>25</v>
      </c>
      <c r="G15" s="92" t="str">
        <f>IF([1]!DataIris[[#This Row],[Largo de sépalo]]&lt;=5.5,"CORTO",IF([1]!DataIris[[#This Row],[Largo de sépalo]]&lt;=6.7,"MEDIANO","LARGO"))</f>
        <v>CORTO</v>
      </c>
      <c r="H15" s="92" t="str">
        <f>IF([1]!DataIris[[#This Row],[Ancho de sépalo]]&lt;=3.2,"ESTRECHO","ANCHO")</f>
        <v>ANCHO</v>
      </c>
      <c r="I15" s="92" t="str">
        <f>IF([1]!DataIris[[#This Row],[Largo de pétalo]]&lt;=3,"CORTO",IF([1]!DataIris[[#This Row],[Largo de pétalo]]&lt;=5,"MEDIANO","LARGO"))</f>
        <v>CORTO</v>
      </c>
      <c r="J15" s="92" t="str">
        <f>IF([1]!DataIris[[#This Row],[Ancho de pétalo]]&lt;=1.4,"ESTRECHO","ANCHO")</f>
        <v>ESTRECHO</v>
      </c>
      <c r="K15" s="92" t="s">
        <v>27</v>
      </c>
    </row>
    <row r="16" spans="2:11">
      <c r="B16" s="92">
        <v>4.8</v>
      </c>
      <c r="C16" s="92">
        <v>3.4</v>
      </c>
      <c r="D16" s="92">
        <v>1.9</v>
      </c>
      <c r="E16" s="92">
        <v>0.2</v>
      </c>
      <c r="F16" s="92" t="s">
        <v>25</v>
      </c>
      <c r="G16" s="92" t="str">
        <f>IF([1]!DataIris[[#This Row],[Largo de sépalo]]&lt;=5.5,"CORTO",IF([1]!DataIris[[#This Row],[Largo de sépalo]]&lt;=6.7,"MEDIANO","LARGO"))</f>
        <v>CORTO</v>
      </c>
      <c r="H16" s="92" t="str">
        <f>IF([1]!DataIris[[#This Row],[Ancho de sépalo]]&lt;=3.2,"ESTRECHO","ANCHO")</f>
        <v>ANCHO</v>
      </c>
      <c r="I16" s="92" t="str">
        <f>IF([1]!DataIris[[#This Row],[Largo de pétalo]]&lt;=3,"CORTO",IF([1]!DataIris[[#This Row],[Largo de pétalo]]&lt;=5,"MEDIANO","LARGO"))</f>
        <v>CORTO</v>
      </c>
      <c r="J16" s="92" t="str">
        <f>IF([1]!DataIris[[#This Row],[Ancho de pétalo]]&lt;=1.4,"ESTRECHO","ANCHO")</f>
        <v>ESTRECHO</v>
      </c>
      <c r="K16" s="92" t="s">
        <v>27</v>
      </c>
    </row>
    <row r="17" spans="2:11">
      <c r="B17" s="92">
        <v>4.8</v>
      </c>
      <c r="C17" s="92">
        <v>3</v>
      </c>
      <c r="D17" s="92">
        <v>1.4</v>
      </c>
      <c r="E17" s="92">
        <v>0.3</v>
      </c>
      <c r="F17" s="92" t="s">
        <v>25</v>
      </c>
      <c r="G17" s="92" t="str">
        <f>IF([1]!DataIris[[#This Row],[Largo de sépalo]]&lt;=5.5,"CORTO",IF([1]!DataIris[[#This Row],[Largo de sépalo]]&lt;=6.7,"MEDIANO","LARGO"))</f>
        <v>CORTO</v>
      </c>
      <c r="H17" s="92" t="str">
        <f>IF([1]!DataIris[[#This Row],[Ancho de sépalo]]&lt;=3.2,"ESTRECHO","ANCHO")</f>
        <v>ESTRECHO</v>
      </c>
      <c r="I17" s="92" t="str">
        <f>IF([1]!DataIris[[#This Row],[Largo de pétalo]]&lt;=3,"CORTO",IF([1]!DataIris[[#This Row],[Largo de pétalo]]&lt;=5,"MEDIANO","LARGO"))</f>
        <v>CORTO</v>
      </c>
      <c r="J17" s="92" t="str">
        <f>IF([1]!DataIris[[#This Row],[Ancho de pétalo]]&lt;=1.4,"ESTRECHO","ANCHO")</f>
        <v>ESTRECHO</v>
      </c>
      <c r="K17" s="92" t="s">
        <v>27</v>
      </c>
    </row>
    <row r="18" spans="2:11">
      <c r="B18" s="92">
        <v>4.9000000000000004</v>
      </c>
      <c r="C18" s="92">
        <v>3.1</v>
      </c>
      <c r="D18" s="92">
        <v>1.5</v>
      </c>
      <c r="E18" s="92">
        <v>0.1</v>
      </c>
      <c r="F18" s="92" t="s">
        <v>25</v>
      </c>
      <c r="G18" s="92" t="str">
        <f>IF([1]!DataIris[[#This Row],[Largo de sépalo]]&lt;=5.5,"CORTO",IF([1]!DataIris[[#This Row],[Largo de sépalo]]&lt;=6.7,"MEDIANO","LARGO"))</f>
        <v>CORTO</v>
      </c>
      <c r="H18" s="92" t="str">
        <f>IF([1]!DataIris[[#This Row],[Ancho de sépalo]]&lt;=3.2,"ESTRECHO","ANCHO")</f>
        <v>ESTRECHO</v>
      </c>
      <c r="I18" s="92" t="str">
        <f>IF([1]!DataIris[[#This Row],[Largo de pétalo]]&lt;=3,"CORTO",IF([1]!DataIris[[#This Row],[Largo de pétalo]]&lt;=5,"MEDIANO","LARGO"))</f>
        <v>CORTO</v>
      </c>
      <c r="J18" s="92" t="str">
        <f>IF([1]!DataIris[[#This Row],[Ancho de pétalo]]&lt;=1.4,"ESTRECHO","ANCHO")</f>
        <v>ESTRECHO</v>
      </c>
      <c r="K18" s="92" t="s">
        <v>27</v>
      </c>
    </row>
    <row r="19" spans="2:11">
      <c r="B19" s="92">
        <v>4.9000000000000004</v>
      </c>
      <c r="C19" s="92">
        <v>3.1</v>
      </c>
      <c r="D19" s="92">
        <v>1.5</v>
      </c>
      <c r="E19" s="92">
        <v>0.1</v>
      </c>
      <c r="F19" s="92" t="s">
        <v>25</v>
      </c>
      <c r="G19" s="92" t="str">
        <f>IF([1]!DataIris[[#This Row],[Largo de sépalo]]&lt;=5.5,"CORTO",IF([1]!DataIris[[#This Row],[Largo de sépalo]]&lt;=6.7,"MEDIANO","LARGO"))</f>
        <v>CORTO</v>
      </c>
      <c r="H19" s="92" t="str">
        <f>IF([1]!DataIris[[#This Row],[Ancho de sépalo]]&lt;=3.2,"ESTRECHO","ANCHO")</f>
        <v>ESTRECHO</v>
      </c>
      <c r="I19" s="92" t="str">
        <f>IF([1]!DataIris[[#This Row],[Largo de pétalo]]&lt;=3,"CORTO",IF([1]!DataIris[[#This Row],[Largo de pétalo]]&lt;=5,"MEDIANO","LARGO"))</f>
        <v>CORTO</v>
      </c>
      <c r="J19" s="92" t="str">
        <f>IF([1]!DataIris[[#This Row],[Ancho de pétalo]]&lt;=1.4,"ESTRECHO","ANCHO")</f>
        <v>ESTRECHO</v>
      </c>
      <c r="K19" s="92" t="s">
        <v>26</v>
      </c>
    </row>
    <row r="20" spans="2:11">
      <c r="B20" s="92">
        <v>4.9000000000000004</v>
      </c>
      <c r="C20" s="92">
        <v>3.1</v>
      </c>
      <c r="D20" s="92">
        <v>1.5</v>
      </c>
      <c r="E20" s="92">
        <v>0.1</v>
      </c>
      <c r="F20" s="92" t="s">
        <v>25</v>
      </c>
      <c r="G20" s="92" t="str">
        <f>IF([1]!DataIris[[#This Row],[Largo de sépalo]]&lt;=5.5,"CORTO",IF([1]!DataIris[[#This Row],[Largo de sépalo]]&lt;=6.7,"MEDIANO","LARGO"))</f>
        <v>CORTO</v>
      </c>
      <c r="H20" s="92" t="str">
        <f>IF([1]!DataIris[[#This Row],[Ancho de sépalo]]&lt;=3.2,"ESTRECHO","ANCHO")</f>
        <v>ESTRECHO</v>
      </c>
      <c r="I20" s="92" t="str">
        <f>IF([1]!DataIris[[#This Row],[Largo de pétalo]]&lt;=3,"CORTO",IF([1]!DataIris[[#This Row],[Largo de pétalo]]&lt;=5,"MEDIANO","LARGO"))</f>
        <v>CORTO</v>
      </c>
      <c r="J20" s="92" t="str">
        <f>IF([1]!DataIris[[#This Row],[Ancho de pétalo]]&lt;=1.4,"ESTRECHO","ANCHO")</f>
        <v>ESTRECHO</v>
      </c>
      <c r="K20" s="92" t="s">
        <v>27</v>
      </c>
    </row>
    <row r="21" spans="2:11">
      <c r="B21" s="92">
        <v>4.9000000000000004</v>
      </c>
      <c r="C21" s="92">
        <v>3</v>
      </c>
      <c r="D21" s="92">
        <v>1.4</v>
      </c>
      <c r="E21" s="92">
        <v>0.2</v>
      </c>
      <c r="F21" s="92" t="s">
        <v>25</v>
      </c>
      <c r="G21" s="92" t="str">
        <f>IF([1]!DataIris[[#This Row],[Largo de sépalo]]&lt;=5.5,"CORTO",IF([1]!DataIris[[#This Row],[Largo de sépalo]]&lt;=6.7,"MEDIANO","LARGO"))</f>
        <v>CORTO</v>
      </c>
      <c r="H21" s="92" t="str">
        <f>IF([1]!DataIris[[#This Row],[Ancho de sépalo]]&lt;=3.2,"ESTRECHO","ANCHO")</f>
        <v>ESTRECHO</v>
      </c>
      <c r="I21" s="92" t="str">
        <f>IF([1]!DataIris[[#This Row],[Largo de pétalo]]&lt;=3,"CORTO",IF([1]!DataIris[[#This Row],[Largo de pétalo]]&lt;=5,"MEDIANO","LARGO"))</f>
        <v>CORTO</v>
      </c>
      <c r="J21" s="92" t="str">
        <f>IF([1]!DataIris[[#This Row],[Ancho de pétalo]]&lt;=1.4,"ESTRECHO","ANCHO")</f>
        <v>ESTRECHO</v>
      </c>
      <c r="K21" s="92" t="s">
        <v>26</v>
      </c>
    </row>
    <row r="22" spans="2:11">
      <c r="B22" s="92">
        <v>4.9000000000000004</v>
      </c>
      <c r="C22" s="92">
        <v>2.4</v>
      </c>
      <c r="D22" s="92">
        <v>3.3</v>
      </c>
      <c r="E22" s="92">
        <v>1</v>
      </c>
      <c r="F22" s="92" t="s">
        <v>26</v>
      </c>
      <c r="G22" s="92" t="str">
        <f>IF([1]!DataIris[[#This Row],[Largo de sépalo]]&lt;=5.5,"CORTO",IF([1]!DataIris[[#This Row],[Largo de sépalo]]&lt;=6.7,"MEDIANO","LARGO"))</f>
        <v>CORTO</v>
      </c>
      <c r="H22" s="92" t="str">
        <f>IF([1]!DataIris[[#This Row],[Ancho de sépalo]]&lt;=3.2,"ESTRECHO","ANCHO")</f>
        <v>ESTRECHO</v>
      </c>
      <c r="I22" s="92" t="str">
        <f>IF([1]!DataIris[[#This Row],[Largo de pétalo]]&lt;=3,"CORTO",IF([1]!DataIris[[#This Row],[Largo de pétalo]]&lt;=5,"MEDIANO","LARGO"))</f>
        <v>MEDIANO</v>
      </c>
      <c r="J22" s="92" t="str">
        <f>IF([1]!DataIris[[#This Row],[Ancho de pétalo]]&lt;=1.4,"ESTRECHO","ANCHO")</f>
        <v>ESTRECHO</v>
      </c>
      <c r="K22" s="92" t="s">
        <v>27</v>
      </c>
    </row>
    <row r="23" spans="2:11">
      <c r="B23" s="92">
        <v>4.9000000000000004</v>
      </c>
      <c r="C23" s="92">
        <v>2.5</v>
      </c>
      <c r="D23" s="92">
        <v>4.5</v>
      </c>
      <c r="E23" s="92">
        <v>1.7</v>
      </c>
      <c r="F23" s="92" t="s">
        <v>27</v>
      </c>
      <c r="G23" s="92" t="str">
        <f>IF([1]!DataIris[[#This Row],[Largo de sépalo]]&lt;=5.5,"CORTO",IF([1]!DataIris[[#This Row],[Largo de sépalo]]&lt;=6.7,"MEDIANO","LARGO"))</f>
        <v>CORTO</v>
      </c>
      <c r="H23" s="92" t="str">
        <f>IF([1]!DataIris[[#This Row],[Ancho de sépalo]]&lt;=3.2,"ESTRECHO","ANCHO")</f>
        <v>ESTRECHO</v>
      </c>
      <c r="I23" s="92" t="str">
        <f>IF([1]!DataIris[[#This Row],[Largo de pétalo]]&lt;=3,"CORTO",IF([1]!DataIris[[#This Row],[Largo de pétalo]]&lt;=5,"MEDIANO","LARGO"))</f>
        <v>MEDIANO</v>
      </c>
      <c r="J23" s="92" t="str">
        <f>IF([1]!DataIris[[#This Row],[Ancho de pétalo]]&lt;=1.4,"ESTRECHO","ANCHO")</f>
        <v>ANCHO</v>
      </c>
      <c r="K23" s="92" t="s">
        <v>27</v>
      </c>
    </row>
    <row r="24" spans="2:11">
      <c r="B24" s="92">
        <v>5</v>
      </c>
      <c r="C24" s="92">
        <v>3.2</v>
      </c>
      <c r="D24" s="92">
        <v>1.2</v>
      </c>
      <c r="E24" s="92">
        <v>0.2</v>
      </c>
      <c r="F24" s="92" t="s">
        <v>25</v>
      </c>
      <c r="G24" s="92" t="str">
        <f>IF([1]!DataIris[[#This Row],[Largo de sépalo]]&lt;=5.5,"CORTO",IF([1]!DataIris[[#This Row],[Largo de sépalo]]&lt;=6.7,"MEDIANO","LARGO"))</f>
        <v>CORTO</v>
      </c>
      <c r="H24" s="92" t="str">
        <f>IF([1]!DataIris[[#This Row],[Ancho de sépalo]]&lt;=3.2,"ESTRECHO","ANCHO")</f>
        <v>ESTRECHO</v>
      </c>
      <c r="I24" s="92" t="str">
        <f>IF([1]!DataIris[[#This Row],[Largo de pétalo]]&lt;=3,"CORTO",IF([1]!DataIris[[#This Row],[Largo de pétalo]]&lt;=5,"MEDIANO","LARGO"))</f>
        <v>CORTO</v>
      </c>
      <c r="J24" s="92" t="str">
        <f>IF([1]!DataIris[[#This Row],[Ancho de pétalo]]&lt;=1.4,"ESTRECHO","ANCHO")</f>
        <v>ESTRECHO</v>
      </c>
      <c r="K24" s="92" t="s">
        <v>25</v>
      </c>
    </row>
    <row r="25" spans="2:11">
      <c r="B25" s="92">
        <v>5</v>
      </c>
      <c r="C25" s="92">
        <v>3.3</v>
      </c>
      <c r="D25" s="92">
        <v>1.4</v>
      </c>
      <c r="E25" s="92">
        <v>0.2</v>
      </c>
      <c r="F25" s="92" t="s">
        <v>25</v>
      </c>
      <c r="G25" s="92" t="str">
        <f>IF([1]!DataIris[[#This Row],[Largo de sépalo]]&lt;=5.5,"CORTO",IF([1]!DataIris[[#This Row],[Largo de sépalo]]&lt;=6.7,"MEDIANO","LARGO"))</f>
        <v>CORTO</v>
      </c>
      <c r="H25" s="92" t="str">
        <f>IF([1]!DataIris[[#This Row],[Ancho de sépalo]]&lt;=3.2,"ESTRECHO","ANCHO")</f>
        <v>ANCHO</v>
      </c>
      <c r="I25" s="92" t="str">
        <f>IF([1]!DataIris[[#This Row],[Largo de pétalo]]&lt;=3,"CORTO",IF([1]!DataIris[[#This Row],[Largo de pétalo]]&lt;=5,"MEDIANO","LARGO"))</f>
        <v>CORTO</v>
      </c>
      <c r="J25" s="92" t="str">
        <f>IF([1]!DataIris[[#This Row],[Ancho de pétalo]]&lt;=1.4,"ESTRECHO","ANCHO")</f>
        <v>ESTRECHO</v>
      </c>
      <c r="K25" s="92" t="s">
        <v>25</v>
      </c>
    </row>
    <row r="26" spans="2:11">
      <c r="B26" s="92">
        <v>5</v>
      </c>
      <c r="C26" s="92">
        <v>3.6</v>
      </c>
      <c r="D26" s="92">
        <v>1.4</v>
      </c>
      <c r="E26" s="92">
        <v>0.2</v>
      </c>
      <c r="F26" s="92" t="s">
        <v>25</v>
      </c>
      <c r="G26" s="92" t="str">
        <f>IF([1]!DataIris[[#This Row],[Largo de sépalo]]&lt;=5.5,"CORTO",IF([1]!DataIris[[#This Row],[Largo de sépalo]]&lt;=6.7,"MEDIANO","LARGO"))</f>
        <v>CORTO</v>
      </c>
      <c r="H26" s="92" t="str">
        <f>IF([1]!DataIris[[#This Row],[Ancho de sépalo]]&lt;=3.2,"ESTRECHO","ANCHO")</f>
        <v>ANCHO</v>
      </c>
      <c r="I26" s="92" t="str">
        <f>IF([1]!DataIris[[#This Row],[Largo de pétalo]]&lt;=3,"CORTO",IF([1]!DataIris[[#This Row],[Largo de pétalo]]&lt;=5,"MEDIANO","LARGO"))</f>
        <v>CORTO</v>
      </c>
      <c r="J26" s="92" t="str">
        <f>IF([1]!DataIris[[#This Row],[Ancho de pétalo]]&lt;=1.4,"ESTRECHO","ANCHO")</f>
        <v>ESTRECHO</v>
      </c>
      <c r="K26" s="92" t="s">
        <v>26</v>
      </c>
    </row>
    <row r="27" spans="2:11">
      <c r="B27" s="92">
        <v>5</v>
      </c>
      <c r="C27" s="92">
        <v>3.4</v>
      </c>
      <c r="D27" s="92">
        <v>1.5</v>
      </c>
      <c r="E27" s="92">
        <v>0.2</v>
      </c>
      <c r="F27" s="92" t="s">
        <v>25</v>
      </c>
      <c r="G27" s="92" t="str">
        <f>IF([1]!DataIris[[#This Row],[Largo de sépalo]]&lt;=5.5,"CORTO",IF([1]!DataIris[[#This Row],[Largo de sépalo]]&lt;=6.7,"MEDIANO","LARGO"))</f>
        <v>CORTO</v>
      </c>
      <c r="H27" s="92" t="str">
        <f>IF([1]!DataIris[[#This Row],[Ancho de sépalo]]&lt;=3.2,"ESTRECHO","ANCHO")</f>
        <v>ANCHO</v>
      </c>
      <c r="I27" s="92" t="str">
        <f>IF([1]!DataIris[[#This Row],[Largo de pétalo]]&lt;=3,"CORTO",IF([1]!DataIris[[#This Row],[Largo de pétalo]]&lt;=5,"MEDIANO","LARGO"))</f>
        <v>CORTO</v>
      </c>
      <c r="J27" s="92" t="str">
        <f>IF([1]!DataIris[[#This Row],[Ancho de pétalo]]&lt;=1.4,"ESTRECHO","ANCHO")</f>
        <v>ESTRECHO</v>
      </c>
      <c r="K27" s="92" t="s">
        <v>26</v>
      </c>
    </row>
    <row r="28" spans="2:11">
      <c r="B28" s="92">
        <v>5</v>
      </c>
      <c r="C28" s="92">
        <v>3</v>
      </c>
      <c r="D28" s="92">
        <v>1.6</v>
      </c>
      <c r="E28" s="92">
        <v>0.2</v>
      </c>
      <c r="F28" s="92" t="s">
        <v>25</v>
      </c>
      <c r="G28" s="92" t="str">
        <f>IF([1]!DataIris[[#This Row],[Largo de sépalo]]&lt;=5.5,"CORTO",IF([1]!DataIris[[#This Row],[Largo de sépalo]]&lt;=6.7,"MEDIANO","LARGO"))</f>
        <v>CORTO</v>
      </c>
      <c r="H28" s="92" t="str">
        <f>IF([1]!DataIris[[#This Row],[Ancho de sépalo]]&lt;=3.2,"ESTRECHO","ANCHO")</f>
        <v>ESTRECHO</v>
      </c>
      <c r="I28" s="92" t="str">
        <f>IF([1]!DataIris[[#This Row],[Largo de pétalo]]&lt;=3,"CORTO",IF([1]!DataIris[[#This Row],[Largo de pétalo]]&lt;=5,"MEDIANO","LARGO"))</f>
        <v>CORTO</v>
      </c>
      <c r="J28" s="92" t="str">
        <f>IF([1]!DataIris[[#This Row],[Ancho de pétalo]]&lt;=1.4,"ESTRECHO","ANCHO")</f>
        <v>ESTRECHO</v>
      </c>
      <c r="K28" s="92" t="s">
        <v>26</v>
      </c>
    </row>
    <row r="29" spans="2:11">
      <c r="B29" s="92">
        <v>5</v>
      </c>
      <c r="C29" s="92">
        <v>3.5</v>
      </c>
      <c r="D29" s="92">
        <v>1.3</v>
      </c>
      <c r="E29" s="92">
        <v>0.3</v>
      </c>
      <c r="F29" s="92" t="s">
        <v>25</v>
      </c>
      <c r="G29" s="92" t="str">
        <f>IF([1]!DataIris[[#This Row],[Largo de sépalo]]&lt;=5.5,"CORTO",IF([1]!DataIris[[#This Row],[Largo de sépalo]]&lt;=6.7,"MEDIANO","LARGO"))</f>
        <v>CORTO</v>
      </c>
      <c r="H29" s="92" t="str">
        <f>IF([1]!DataIris[[#This Row],[Ancho de sépalo]]&lt;=3.2,"ESTRECHO","ANCHO")</f>
        <v>ANCHO</v>
      </c>
      <c r="I29" s="92" t="str">
        <f>IF([1]!DataIris[[#This Row],[Largo de pétalo]]&lt;=3,"CORTO",IF([1]!DataIris[[#This Row],[Largo de pétalo]]&lt;=5,"MEDIANO","LARGO"))</f>
        <v>CORTO</v>
      </c>
      <c r="J29" s="92" t="str">
        <f>IF([1]!DataIris[[#This Row],[Ancho de pétalo]]&lt;=1.4,"ESTRECHO","ANCHO")</f>
        <v>ESTRECHO</v>
      </c>
      <c r="K29" s="92" t="s">
        <v>27</v>
      </c>
    </row>
    <row r="30" spans="2:11">
      <c r="B30" s="92">
        <v>5</v>
      </c>
      <c r="C30" s="92">
        <v>3.4</v>
      </c>
      <c r="D30" s="92">
        <v>1.6</v>
      </c>
      <c r="E30" s="92">
        <v>0.4</v>
      </c>
      <c r="F30" s="92" t="s">
        <v>25</v>
      </c>
      <c r="G30" s="92" t="str">
        <f>IF([1]!DataIris[[#This Row],[Largo de sépalo]]&lt;=5.5,"CORTO",IF([1]!DataIris[[#This Row],[Largo de sépalo]]&lt;=6.7,"MEDIANO","LARGO"))</f>
        <v>CORTO</v>
      </c>
      <c r="H30" s="92" t="str">
        <f>IF([1]!DataIris[[#This Row],[Ancho de sépalo]]&lt;=3.2,"ESTRECHO","ANCHO")</f>
        <v>ANCHO</v>
      </c>
      <c r="I30" s="92" t="str">
        <f>IF([1]!DataIris[[#This Row],[Largo de pétalo]]&lt;=3,"CORTO",IF([1]!DataIris[[#This Row],[Largo de pétalo]]&lt;=5,"MEDIANO","LARGO"))</f>
        <v>CORTO</v>
      </c>
      <c r="J30" s="92" t="str">
        <f>IF([1]!DataIris[[#This Row],[Ancho de pétalo]]&lt;=1.4,"ESTRECHO","ANCHO")</f>
        <v>ESTRECHO</v>
      </c>
      <c r="K30" s="92" t="s">
        <v>26</v>
      </c>
    </row>
    <row r="31" spans="2:11">
      <c r="B31" s="92">
        <v>5</v>
      </c>
      <c r="C31" s="92">
        <v>3.5</v>
      </c>
      <c r="D31" s="92">
        <v>1.6</v>
      </c>
      <c r="E31" s="92">
        <v>0.6</v>
      </c>
      <c r="F31" s="92" t="s">
        <v>25</v>
      </c>
      <c r="G31" s="92" t="str">
        <f>IF([1]!DataIris[[#This Row],[Largo de sépalo]]&lt;=5.5,"CORTO",IF([1]!DataIris[[#This Row],[Largo de sépalo]]&lt;=6.7,"MEDIANO","LARGO"))</f>
        <v>CORTO</v>
      </c>
      <c r="H31" s="92" t="str">
        <f>IF([1]!DataIris[[#This Row],[Ancho de sépalo]]&lt;=3.2,"ESTRECHO","ANCHO")</f>
        <v>ANCHO</v>
      </c>
      <c r="I31" s="92" t="str">
        <f>IF([1]!DataIris[[#This Row],[Largo de pétalo]]&lt;=3,"CORTO",IF([1]!DataIris[[#This Row],[Largo de pétalo]]&lt;=5,"MEDIANO","LARGO"))</f>
        <v>CORTO</v>
      </c>
      <c r="J31" s="92" t="str">
        <f>IF([1]!DataIris[[#This Row],[Ancho de pétalo]]&lt;=1.4,"ESTRECHO","ANCHO")</f>
        <v>ESTRECHO</v>
      </c>
      <c r="K31" s="92" t="s">
        <v>27</v>
      </c>
    </row>
    <row r="32" spans="2:11">
      <c r="B32" s="92">
        <v>5</v>
      </c>
      <c r="C32" s="92">
        <v>2.2999999999999998</v>
      </c>
      <c r="D32" s="92">
        <v>3.3</v>
      </c>
      <c r="E32" s="92">
        <v>1</v>
      </c>
      <c r="F32" s="92" t="s">
        <v>26</v>
      </c>
      <c r="G32" s="92" t="str">
        <f>IF([1]!DataIris[[#This Row],[Largo de sépalo]]&lt;=5.5,"CORTO",IF([1]!DataIris[[#This Row],[Largo de sépalo]]&lt;=6.7,"MEDIANO","LARGO"))</f>
        <v>CORTO</v>
      </c>
      <c r="H32" s="92" t="str">
        <f>IF([1]!DataIris[[#This Row],[Ancho de sépalo]]&lt;=3.2,"ESTRECHO","ANCHO")</f>
        <v>ESTRECHO</v>
      </c>
      <c r="I32" s="92" t="str">
        <f>IF([1]!DataIris[[#This Row],[Largo de pétalo]]&lt;=3,"CORTO",IF([1]!DataIris[[#This Row],[Largo de pétalo]]&lt;=5,"MEDIANO","LARGO"))</f>
        <v>MEDIANO</v>
      </c>
      <c r="J32" s="92" t="str">
        <f>IF([1]!DataIris[[#This Row],[Ancho de pétalo]]&lt;=1.4,"ESTRECHO","ANCHO")</f>
        <v>ESTRECHO</v>
      </c>
      <c r="K32" s="92" t="s">
        <v>27</v>
      </c>
    </row>
    <row r="33" spans="2:11">
      <c r="B33" s="92">
        <v>5</v>
      </c>
      <c r="C33" s="92">
        <v>2</v>
      </c>
      <c r="D33" s="92">
        <v>3.5</v>
      </c>
      <c r="E33" s="92">
        <v>1</v>
      </c>
      <c r="F33" s="92" t="s">
        <v>26</v>
      </c>
      <c r="G33" s="92" t="str">
        <f>IF([1]!DataIris[[#This Row],[Largo de sépalo]]&lt;=5.5,"CORTO",IF([1]!DataIris[[#This Row],[Largo de sépalo]]&lt;=6.7,"MEDIANO","LARGO"))</f>
        <v>CORTO</v>
      </c>
      <c r="H33" s="92" t="str">
        <f>IF([1]!DataIris[[#This Row],[Ancho de sépalo]]&lt;=3.2,"ESTRECHO","ANCHO")</f>
        <v>ESTRECHO</v>
      </c>
      <c r="I33" s="92" t="str">
        <f>IF([1]!DataIris[[#This Row],[Largo de pétalo]]&lt;=3,"CORTO",IF([1]!DataIris[[#This Row],[Largo de pétalo]]&lt;=5,"MEDIANO","LARGO"))</f>
        <v>MEDIANO</v>
      </c>
      <c r="J33" s="92" t="str">
        <f>IF([1]!DataIris[[#This Row],[Ancho de pétalo]]&lt;=1.4,"ESTRECHO","ANCHO")</f>
        <v>ESTRECHO</v>
      </c>
      <c r="K33" s="92" t="s">
        <v>26</v>
      </c>
    </row>
    <row r="34" spans="2:11">
      <c r="B34" s="92">
        <v>5.0999999999999996</v>
      </c>
      <c r="C34" s="92">
        <v>3.5</v>
      </c>
      <c r="D34" s="92">
        <v>1.4</v>
      </c>
      <c r="E34" s="92">
        <v>0.2</v>
      </c>
      <c r="F34" s="92" t="s">
        <v>25</v>
      </c>
      <c r="G34" s="92" t="str">
        <f>IF([1]!DataIris[[#This Row],[Largo de sépalo]]&lt;=5.5,"CORTO",IF([1]!DataIris[[#This Row],[Largo de sépalo]]&lt;=6.7,"MEDIANO","LARGO"))</f>
        <v>CORTO</v>
      </c>
      <c r="H34" s="92" t="str">
        <f>IF([1]!DataIris[[#This Row],[Ancho de sépalo]]&lt;=3.2,"ESTRECHO","ANCHO")</f>
        <v>ANCHO</v>
      </c>
      <c r="I34" s="92" t="str">
        <f>IF([1]!DataIris[[#This Row],[Largo de pétalo]]&lt;=3,"CORTO",IF([1]!DataIris[[#This Row],[Largo de pétalo]]&lt;=5,"MEDIANO","LARGO"))</f>
        <v>CORTO</v>
      </c>
      <c r="J34" s="92" t="str">
        <f>IF([1]!DataIris[[#This Row],[Ancho de pétalo]]&lt;=1.4,"ESTRECHO","ANCHO")</f>
        <v>ESTRECHO</v>
      </c>
      <c r="K34" s="92" t="s">
        <v>27</v>
      </c>
    </row>
    <row r="35" spans="2:11">
      <c r="B35" s="92">
        <v>5.0999999999999996</v>
      </c>
      <c r="C35" s="92">
        <v>3.4</v>
      </c>
      <c r="D35" s="92">
        <v>1.5</v>
      </c>
      <c r="E35" s="92">
        <v>0.2</v>
      </c>
      <c r="F35" s="92" t="s">
        <v>25</v>
      </c>
      <c r="G35" s="92" t="str">
        <f>IF([1]!DataIris[[#This Row],[Largo de sépalo]]&lt;=5.5,"CORTO",IF([1]!DataIris[[#This Row],[Largo de sépalo]]&lt;=6.7,"MEDIANO","LARGO"))</f>
        <v>CORTO</v>
      </c>
      <c r="H35" s="92" t="str">
        <f>IF([1]!DataIris[[#This Row],[Ancho de sépalo]]&lt;=3.2,"ESTRECHO","ANCHO")</f>
        <v>ANCHO</v>
      </c>
      <c r="I35" s="92" t="str">
        <f>IF([1]!DataIris[[#This Row],[Largo de pétalo]]&lt;=3,"CORTO",IF([1]!DataIris[[#This Row],[Largo de pétalo]]&lt;=5,"MEDIANO","LARGO"))</f>
        <v>CORTO</v>
      </c>
      <c r="J35" s="92" t="str">
        <f>IF([1]!DataIris[[#This Row],[Ancho de pétalo]]&lt;=1.4,"ESTRECHO","ANCHO")</f>
        <v>ESTRECHO</v>
      </c>
      <c r="K35" s="92" t="s">
        <v>27</v>
      </c>
    </row>
    <row r="36" spans="2:11">
      <c r="B36" s="92">
        <v>5.0999999999999996</v>
      </c>
      <c r="C36" s="92">
        <v>3.8</v>
      </c>
      <c r="D36" s="92">
        <v>1.6</v>
      </c>
      <c r="E36" s="92">
        <v>0.2</v>
      </c>
      <c r="F36" s="92" t="s">
        <v>25</v>
      </c>
      <c r="G36" s="92" t="str">
        <f>IF([1]!DataIris[[#This Row],[Largo de sépalo]]&lt;=5.5,"CORTO",IF([1]!DataIris[[#This Row],[Largo de sépalo]]&lt;=6.7,"MEDIANO","LARGO"))</f>
        <v>CORTO</v>
      </c>
      <c r="H36" s="92" t="str">
        <f>IF([1]!DataIris[[#This Row],[Ancho de sépalo]]&lt;=3.2,"ESTRECHO","ANCHO")</f>
        <v>ANCHO</v>
      </c>
      <c r="I36" s="92" t="str">
        <f>IF([1]!DataIris[[#This Row],[Largo de pétalo]]&lt;=3,"CORTO",IF([1]!DataIris[[#This Row],[Largo de pétalo]]&lt;=5,"MEDIANO","LARGO"))</f>
        <v>CORTO</v>
      </c>
      <c r="J36" s="92" t="str">
        <f>IF([1]!DataIris[[#This Row],[Ancho de pétalo]]&lt;=1.4,"ESTRECHO","ANCHO")</f>
        <v>ESTRECHO</v>
      </c>
      <c r="K36" s="92" t="s">
        <v>27</v>
      </c>
    </row>
    <row r="37" spans="2:11">
      <c r="B37" s="92">
        <v>5.0999999999999996</v>
      </c>
      <c r="C37" s="92">
        <v>3.5</v>
      </c>
      <c r="D37" s="92">
        <v>1.4</v>
      </c>
      <c r="E37" s="92">
        <v>0.3</v>
      </c>
      <c r="F37" s="92" t="s">
        <v>25</v>
      </c>
      <c r="G37" s="92" t="str">
        <f>IF([1]!DataIris[[#This Row],[Largo de sépalo]]&lt;=5.5,"CORTO",IF([1]!DataIris[[#This Row],[Largo de sépalo]]&lt;=6.7,"MEDIANO","LARGO"))</f>
        <v>CORTO</v>
      </c>
      <c r="H37" s="92" t="str">
        <f>IF([1]!DataIris[[#This Row],[Ancho de sépalo]]&lt;=3.2,"ESTRECHO","ANCHO")</f>
        <v>ANCHO</v>
      </c>
      <c r="I37" s="92" t="str">
        <f>IF([1]!DataIris[[#This Row],[Largo de pétalo]]&lt;=3,"CORTO",IF([1]!DataIris[[#This Row],[Largo de pétalo]]&lt;=5,"MEDIANO","LARGO"))</f>
        <v>CORTO</v>
      </c>
      <c r="J37" s="92" t="str">
        <f>IF([1]!DataIris[[#This Row],[Ancho de pétalo]]&lt;=1.4,"ESTRECHO","ANCHO")</f>
        <v>ESTRECHO</v>
      </c>
      <c r="K37" s="92" t="s">
        <v>27</v>
      </c>
    </row>
    <row r="38" spans="2:11">
      <c r="B38" s="92">
        <v>5.0999999999999996</v>
      </c>
      <c r="C38" s="92">
        <v>3.8</v>
      </c>
      <c r="D38" s="92">
        <v>1.5</v>
      </c>
      <c r="E38" s="92">
        <v>0.3</v>
      </c>
      <c r="F38" s="92" t="s">
        <v>25</v>
      </c>
      <c r="G38" s="92" t="str">
        <f>IF([1]!DataIris[[#This Row],[Largo de sépalo]]&lt;=5.5,"CORTO",IF([1]!DataIris[[#This Row],[Largo de sépalo]]&lt;=6.7,"MEDIANO","LARGO"))</f>
        <v>CORTO</v>
      </c>
      <c r="H38" s="92" t="str">
        <f>IF([1]!DataIris[[#This Row],[Ancho de sépalo]]&lt;=3.2,"ESTRECHO","ANCHO")</f>
        <v>ANCHO</v>
      </c>
      <c r="I38" s="92" t="str">
        <f>IF([1]!DataIris[[#This Row],[Largo de pétalo]]&lt;=3,"CORTO",IF([1]!DataIris[[#This Row],[Largo de pétalo]]&lt;=5,"MEDIANO","LARGO"))</f>
        <v>CORTO</v>
      </c>
      <c r="J38" s="92" t="str">
        <f>IF([1]!DataIris[[#This Row],[Ancho de pétalo]]&lt;=1.4,"ESTRECHO","ANCHO")</f>
        <v>ESTRECHO</v>
      </c>
      <c r="K38" s="92" t="s">
        <v>27</v>
      </c>
    </row>
    <row r="39" spans="2:11">
      <c r="B39" s="92">
        <v>5.0999999999999996</v>
      </c>
      <c r="C39" s="92">
        <v>3.7</v>
      </c>
      <c r="D39" s="92">
        <v>1.5</v>
      </c>
      <c r="E39" s="92">
        <v>0.4</v>
      </c>
      <c r="F39" s="92" t="s">
        <v>25</v>
      </c>
      <c r="G39" s="92" t="str">
        <f>IF([1]!DataIris[[#This Row],[Largo de sépalo]]&lt;=5.5,"CORTO",IF([1]!DataIris[[#This Row],[Largo de sépalo]]&lt;=6.7,"MEDIANO","LARGO"))</f>
        <v>CORTO</v>
      </c>
      <c r="H39" s="92" t="str">
        <f>IF([1]!DataIris[[#This Row],[Ancho de sépalo]]&lt;=3.2,"ESTRECHO","ANCHO")</f>
        <v>ANCHO</v>
      </c>
      <c r="I39" s="92" t="str">
        <f>IF([1]!DataIris[[#This Row],[Largo de pétalo]]&lt;=3,"CORTO",IF([1]!DataIris[[#This Row],[Largo de pétalo]]&lt;=5,"MEDIANO","LARGO"))</f>
        <v>CORTO</v>
      </c>
      <c r="J39" s="92" t="str">
        <f>IF([1]!DataIris[[#This Row],[Ancho de pétalo]]&lt;=1.4,"ESTRECHO","ANCHO")</f>
        <v>ESTRECHO</v>
      </c>
      <c r="K39" s="92" t="s">
        <v>27</v>
      </c>
    </row>
    <row r="40" spans="2:11">
      <c r="B40" s="92">
        <v>5.0999999999999996</v>
      </c>
      <c r="C40" s="92">
        <v>3.8</v>
      </c>
      <c r="D40" s="92">
        <v>1.9</v>
      </c>
      <c r="E40" s="92">
        <v>0.4</v>
      </c>
      <c r="F40" s="92" t="s">
        <v>25</v>
      </c>
      <c r="G40" s="92" t="str">
        <f>IF([1]!DataIris[[#This Row],[Largo de sépalo]]&lt;=5.5,"CORTO",IF([1]!DataIris[[#This Row],[Largo de sépalo]]&lt;=6.7,"MEDIANO","LARGO"))</f>
        <v>CORTO</v>
      </c>
      <c r="H40" s="92" t="str">
        <f>IF([1]!DataIris[[#This Row],[Ancho de sépalo]]&lt;=3.2,"ESTRECHO","ANCHO")</f>
        <v>ANCHO</v>
      </c>
      <c r="I40" s="92" t="str">
        <f>IF([1]!DataIris[[#This Row],[Largo de pétalo]]&lt;=3,"CORTO",IF([1]!DataIris[[#This Row],[Largo de pétalo]]&lt;=5,"MEDIANO","LARGO"))</f>
        <v>CORTO</v>
      </c>
      <c r="J40" s="92" t="str">
        <f>IF([1]!DataIris[[#This Row],[Ancho de pétalo]]&lt;=1.4,"ESTRECHO","ANCHO")</f>
        <v>ESTRECHO</v>
      </c>
      <c r="K40" s="92" t="s">
        <v>27</v>
      </c>
    </row>
    <row r="41" spans="2:11">
      <c r="B41" s="92">
        <v>5.0999999999999996</v>
      </c>
      <c r="C41" s="92">
        <v>3.3</v>
      </c>
      <c r="D41" s="92">
        <v>1.7</v>
      </c>
      <c r="E41" s="92">
        <v>0.5</v>
      </c>
      <c r="F41" s="92" t="s">
        <v>25</v>
      </c>
      <c r="G41" s="92" t="str">
        <f>IF([1]!DataIris[[#This Row],[Largo de sépalo]]&lt;=5.5,"CORTO",IF([1]!DataIris[[#This Row],[Largo de sépalo]]&lt;=6.7,"MEDIANO","LARGO"))</f>
        <v>CORTO</v>
      </c>
      <c r="H41" s="92" t="str">
        <f>IF([1]!DataIris[[#This Row],[Ancho de sépalo]]&lt;=3.2,"ESTRECHO","ANCHO")</f>
        <v>ANCHO</v>
      </c>
      <c r="I41" s="92" t="str">
        <f>IF([1]!DataIris[[#This Row],[Largo de pétalo]]&lt;=3,"CORTO",IF([1]!DataIris[[#This Row],[Largo de pétalo]]&lt;=5,"MEDIANO","LARGO"))</f>
        <v>CORTO</v>
      </c>
      <c r="J41" s="92" t="str">
        <f>IF([1]!DataIris[[#This Row],[Ancho de pétalo]]&lt;=1.4,"ESTRECHO","ANCHO")</f>
        <v>ESTRECHO</v>
      </c>
      <c r="K41" s="92" t="s">
        <v>27</v>
      </c>
    </row>
    <row r="42" spans="2:11">
      <c r="B42" s="92">
        <v>5.0999999999999996</v>
      </c>
      <c r="C42" s="92">
        <v>2.5</v>
      </c>
      <c r="D42" s="92">
        <v>3</v>
      </c>
      <c r="E42" s="92">
        <v>1.1000000000000001</v>
      </c>
      <c r="F42" s="92" t="s">
        <v>26</v>
      </c>
      <c r="G42" s="92" t="str">
        <f>IF([1]!DataIris[[#This Row],[Largo de sépalo]]&lt;=5.5,"CORTO",IF([1]!DataIris[[#This Row],[Largo de sépalo]]&lt;=6.7,"MEDIANO","LARGO"))</f>
        <v>CORTO</v>
      </c>
      <c r="H42" s="92" t="str">
        <f>IF([1]!DataIris[[#This Row],[Ancho de sépalo]]&lt;=3.2,"ESTRECHO","ANCHO")</f>
        <v>ESTRECHO</v>
      </c>
      <c r="I42" s="92" t="str">
        <f>IF([1]!DataIris[[#This Row],[Largo de pétalo]]&lt;=3,"CORTO",IF([1]!DataIris[[#This Row],[Largo de pétalo]]&lt;=5,"MEDIANO","LARGO"))</f>
        <v>CORTO</v>
      </c>
      <c r="J42" s="92" t="str">
        <f>IF([1]!DataIris[[#This Row],[Ancho de pétalo]]&lt;=1.4,"ESTRECHO","ANCHO")</f>
        <v>ESTRECHO</v>
      </c>
      <c r="K42" s="92" t="s">
        <v>25</v>
      </c>
    </row>
    <row r="43" spans="2:11">
      <c r="B43" s="92">
        <v>5.2</v>
      </c>
      <c r="C43" s="92">
        <v>4.0999999999999996</v>
      </c>
      <c r="D43" s="92">
        <v>1.5</v>
      </c>
      <c r="E43" s="92">
        <v>0.1</v>
      </c>
      <c r="F43" s="92" t="s">
        <v>25</v>
      </c>
      <c r="G43" s="92" t="str">
        <f>IF([1]!DataIris[[#This Row],[Largo de sépalo]]&lt;=5.5,"CORTO",IF([1]!DataIris[[#This Row],[Largo de sépalo]]&lt;=6.7,"MEDIANO","LARGO"))</f>
        <v>CORTO</v>
      </c>
      <c r="H43" s="92" t="str">
        <f>IF([1]!DataIris[[#This Row],[Ancho de sépalo]]&lt;=3.2,"ESTRECHO","ANCHO")</f>
        <v>ANCHO</v>
      </c>
      <c r="I43" s="92" t="str">
        <f>IF([1]!DataIris[[#This Row],[Largo de pétalo]]&lt;=3,"CORTO",IF([1]!DataIris[[#This Row],[Largo de pétalo]]&lt;=5,"MEDIANO","LARGO"))</f>
        <v>CORTO</v>
      </c>
      <c r="J43" s="92" t="str">
        <f>IF([1]!DataIris[[#This Row],[Ancho de pétalo]]&lt;=1.4,"ESTRECHO","ANCHO")</f>
        <v>ESTRECHO</v>
      </c>
      <c r="K43" s="92" t="s">
        <v>25</v>
      </c>
    </row>
    <row r="44" spans="2:11">
      <c r="B44" s="92">
        <v>5.2</v>
      </c>
      <c r="C44" s="92">
        <v>3.4</v>
      </c>
      <c r="D44" s="92">
        <v>1.4</v>
      </c>
      <c r="E44" s="92">
        <v>0.2</v>
      </c>
      <c r="F44" s="92" t="s">
        <v>25</v>
      </c>
      <c r="G44" s="92" t="str">
        <f>IF([1]!DataIris[[#This Row],[Largo de sépalo]]&lt;=5.5,"CORTO",IF([1]!DataIris[[#This Row],[Largo de sépalo]]&lt;=6.7,"MEDIANO","LARGO"))</f>
        <v>CORTO</v>
      </c>
      <c r="H44" s="92" t="str">
        <f>IF([1]!DataIris[[#This Row],[Ancho de sépalo]]&lt;=3.2,"ESTRECHO","ANCHO")</f>
        <v>ANCHO</v>
      </c>
      <c r="I44" s="92" t="str">
        <f>IF([1]!DataIris[[#This Row],[Largo de pétalo]]&lt;=3,"CORTO",IF([1]!DataIris[[#This Row],[Largo de pétalo]]&lt;=5,"MEDIANO","LARGO"))</f>
        <v>CORTO</v>
      </c>
      <c r="J44" s="92" t="str">
        <f>IF([1]!DataIris[[#This Row],[Ancho de pétalo]]&lt;=1.4,"ESTRECHO","ANCHO")</f>
        <v>ESTRECHO</v>
      </c>
      <c r="K44" s="92" t="s">
        <v>26</v>
      </c>
    </row>
    <row r="45" spans="2:11">
      <c r="B45" s="92">
        <v>5.2</v>
      </c>
      <c r="C45" s="92">
        <v>3.5</v>
      </c>
      <c r="D45" s="92">
        <v>1.5</v>
      </c>
      <c r="E45" s="92">
        <v>0.2</v>
      </c>
      <c r="F45" s="92" t="s">
        <v>25</v>
      </c>
      <c r="G45" s="92" t="str">
        <f>IF([1]!DataIris[[#This Row],[Largo de sépalo]]&lt;=5.5,"CORTO",IF([1]!DataIris[[#This Row],[Largo de sépalo]]&lt;=6.7,"MEDIANO","LARGO"))</f>
        <v>CORTO</v>
      </c>
      <c r="H45" s="92" t="str">
        <f>IF([1]!DataIris[[#This Row],[Ancho de sépalo]]&lt;=3.2,"ESTRECHO","ANCHO")</f>
        <v>ANCHO</v>
      </c>
      <c r="I45" s="92" t="str">
        <f>IF([1]!DataIris[[#This Row],[Largo de pétalo]]&lt;=3,"CORTO",IF([1]!DataIris[[#This Row],[Largo de pétalo]]&lt;=5,"MEDIANO","LARGO"))</f>
        <v>CORTO</v>
      </c>
      <c r="J45" s="92" t="str">
        <f>IF([1]!DataIris[[#This Row],[Ancho de pétalo]]&lt;=1.4,"ESTRECHO","ANCHO")</f>
        <v>ESTRECHO</v>
      </c>
      <c r="K45" s="92" t="s">
        <v>26</v>
      </c>
    </row>
    <row r="46" spans="2:11">
      <c r="B46" s="92">
        <v>5.2</v>
      </c>
      <c r="C46" s="92">
        <v>2.7</v>
      </c>
      <c r="D46" s="92">
        <v>3.9</v>
      </c>
      <c r="E46" s="92">
        <v>1.4</v>
      </c>
      <c r="F46" s="92" t="s">
        <v>26</v>
      </c>
      <c r="G46" s="92" t="str">
        <f>IF([1]!DataIris[[#This Row],[Largo de sépalo]]&lt;=5.5,"CORTO",IF([1]!DataIris[[#This Row],[Largo de sépalo]]&lt;=6.7,"MEDIANO","LARGO"))</f>
        <v>CORTO</v>
      </c>
      <c r="H46" s="92" t="str">
        <f>IF([1]!DataIris[[#This Row],[Ancho de sépalo]]&lt;=3.2,"ESTRECHO","ANCHO")</f>
        <v>ESTRECHO</v>
      </c>
      <c r="I46" s="92" t="str">
        <f>IF([1]!DataIris[[#This Row],[Largo de pétalo]]&lt;=3,"CORTO",IF([1]!DataIris[[#This Row],[Largo de pétalo]]&lt;=5,"MEDIANO","LARGO"))</f>
        <v>MEDIANO</v>
      </c>
      <c r="J46" s="92" t="str">
        <f>IF([1]!DataIris[[#This Row],[Ancho de pétalo]]&lt;=1.4,"ESTRECHO","ANCHO")</f>
        <v>ESTRECHO</v>
      </c>
      <c r="K46" s="92" t="s">
        <v>26</v>
      </c>
    </row>
    <row r="47" spans="2:11">
      <c r="B47" s="92">
        <v>5.3</v>
      </c>
      <c r="C47" s="92">
        <v>3.7</v>
      </c>
      <c r="D47" s="92">
        <v>1.5</v>
      </c>
      <c r="E47" s="92">
        <v>0.2</v>
      </c>
      <c r="F47" s="92" t="s">
        <v>25</v>
      </c>
      <c r="G47" s="92" t="str">
        <f>IF([1]!DataIris[[#This Row],[Largo de sépalo]]&lt;=5.5,"CORTO",IF([1]!DataIris[[#This Row],[Largo de sépalo]]&lt;=6.7,"MEDIANO","LARGO"))</f>
        <v>CORTO</v>
      </c>
      <c r="H47" s="92" t="str">
        <f>IF([1]!DataIris[[#This Row],[Ancho de sépalo]]&lt;=3.2,"ESTRECHO","ANCHO")</f>
        <v>ANCHO</v>
      </c>
      <c r="I47" s="92" t="str">
        <f>IF([1]!DataIris[[#This Row],[Largo de pétalo]]&lt;=3,"CORTO",IF([1]!DataIris[[#This Row],[Largo de pétalo]]&lt;=5,"MEDIANO","LARGO"))</f>
        <v>CORTO</v>
      </c>
      <c r="J47" s="92" t="str">
        <f>IF([1]!DataIris[[#This Row],[Ancho de pétalo]]&lt;=1.4,"ESTRECHO","ANCHO")</f>
        <v>ESTRECHO</v>
      </c>
      <c r="K47" s="92" t="s">
        <v>27</v>
      </c>
    </row>
    <row r="48" spans="2:11">
      <c r="B48" s="92">
        <v>5.4</v>
      </c>
      <c r="C48" s="92">
        <v>3.7</v>
      </c>
      <c r="D48" s="92">
        <v>1.5</v>
      </c>
      <c r="E48" s="92">
        <v>0.2</v>
      </c>
      <c r="F48" s="92" t="s">
        <v>25</v>
      </c>
      <c r="G48" s="92" t="str">
        <f>IF([1]!DataIris[[#This Row],[Largo de sépalo]]&lt;=5.5,"CORTO",IF([1]!DataIris[[#This Row],[Largo de sépalo]]&lt;=6.7,"MEDIANO","LARGO"))</f>
        <v>CORTO</v>
      </c>
      <c r="H48" s="92" t="str">
        <f>IF([1]!DataIris[[#This Row],[Ancho de sépalo]]&lt;=3.2,"ESTRECHO","ANCHO")</f>
        <v>ANCHO</v>
      </c>
      <c r="I48" s="92" t="str">
        <f>IF([1]!DataIris[[#This Row],[Largo de pétalo]]&lt;=3,"CORTO",IF([1]!DataIris[[#This Row],[Largo de pétalo]]&lt;=5,"MEDIANO","LARGO"))</f>
        <v>CORTO</v>
      </c>
      <c r="J48" s="92" t="str">
        <f>IF([1]!DataIris[[#This Row],[Ancho de pétalo]]&lt;=1.4,"ESTRECHO","ANCHO")</f>
        <v>ESTRECHO</v>
      </c>
      <c r="K48" s="92" t="s">
        <v>25</v>
      </c>
    </row>
    <row r="49" spans="2:11">
      <c r="B49" s="92">
        <v>5.4</v>
      </c>
      <c r="C49" s="92">
        <v>3.4</v>
      </c>
      <c r="D49" s="92">
        <v>1.7</v>
      </c>
      <c r="E49" s="92">
        <v>0.2</v>
      </c>
      <c r="F49" s="92" t="s">
        <v>25</v>
      </c>
      <c r="G49" s="92" t="str">
        <f>IF([1]!DataIris[[#This Row],[Largo de sépalo]]&lt;=5.5,"CORTO",IF([1]!DataIris[[#This Row],[Largo de sépalo]]&lt;=6.7,"MEDIANO","LARGO"))</f>
        <v>CORTO</v>
      </c>
      <c r="H49" s="92" t="str">
        <f>IF([1]!DataIris[[#This Row],[Ancho de sépalo]]&lt;=3.2,"ESTRECHO","ANCHO")</f>
        <v>ANCHO</v>
      </c>
      <c r="I49" s="92" t="str">
        <f>IF([1]!DataIris[[#This Row],[Largo de pétalo]]&lt;=3,"CORTO",IF([1]!DataIris[[#This Row],[Largo de pétalo]]&lt;=5,"MEDIANO","LARGO"))</f>
        <v>CORTO</v>
      </c>
      <c r="J49" s="92" t="str">
        <f>IF([1]!DataIris[[#This Row],[Ancho de pétalo]]&lt;=1.4,"ESTRECHO","ANCHO")</f>
        <v>ESTRECHO</v>
      </c>
      <c r="K49" s="92" t="s">
        <v>25</v>
      </c>
    </row>
    <row r="50" spans="2:11">
      <c r="B50" s="92">
        <v>5.4</v>
      </c>
      <c r="C50" s="92">
        <v>3.9</v>
      </c>
      <c r="D50" s="92">
        <v>1.3</v>
      </c>
      <c r="E50" s="92">
        <v>0.4</v>
      </c>
      <c r="F50" s="92" t="s">
        <v>25</v>
      </c>
      <c r="G50" s="92" t="str">
        <f>IF([1]!DataIris[[#This Row],[Largo de sépalo]]&lt;=5.5,"CORTO",IF([1]!DataIris[[#This Row],[Largo de sépalo]]&lt;=6.7,"MEDIANO","LARGO"))</f>
        <v>CORTO</v>
      </c>
      <c r="H50" s="92" t="str">
        <f>IF([1]!DataIris[[#This Row],[Ancho de sépalo]]&lt;=3.2,"ESTRECHO","ANCHO")</f>
        <v>ANCHO</v>
      </c>
      <c r="I50" s="92" t="str">
        <f>IF([1]!DataIris[[#This Row],[Largo de pétalo]]&lt;=3,"CORTO",IF([1]!DataIris[[#This Row],[Largo de pétalo]]&lt;=5,"MEDIANO","LARGO"))</f>
        <v>CORTO</v>
      </c>
      <c r="J50" s="92" t="str">
        <f>IF([1]!DataIris[[#This Row],[Ancho de pétalo]]&lt;=1.4,"ESTRECHO","ANCHO")</f>
        <v>ESTRECHO</v>
      </c>
      <c r="K50" s="92" t="s">
        <v>26</v>
      </c>
    </row>
    <row r="51" spans="2:11">
      <c r="B51" s="92">
        <v>5.4</v>
      </c>
      <c r="C51" s="92">
        <v>3.4</v>
      </c>
      <c r="D51" s="92">
        <v>1.5</v>
      </c>
      <c r="E51" s="92">
        <v>0.4</v>
      </c>
      <c r="F51" s="92" t="s">
        <v>25</v>
      </c>
      <c r="G51" s="92" t="str">
        <f>IF([1]!DataIris[[#This Row],[Largo de sépalo]]&lt;=5.5,"CORTO",IF([1]!DataIris[[#This Row],[Largo de sépalo]]&lt;=6.7,"MEDIANO","LARGO"))</f>
        <v>CORTO</v>
      </c>
      <c r="H51" s="92" t="str">
        <f>IF([1]!DataIris[[#This Row],[Ancho de sépalo]]&lt;=3.2,"ESTRECHO","ANCHO")</f>
        <v>ANCHO</v>
      </c>
      <c r="I51" s="92" t="str">
        <f>IF([1]!DataIris[[#This Row],[Largo de pétalo]]&lt;=3,"CORTO",IF([1]!DataIris[[#This Row],[Largo de pétalo]]&lt;=5,"MEDIANO","LARGO"))</f>
        <v>CORTO</v>
      </c>
      <c r="J51" s="92" t="str">
        <f>IF([1]!DataIris[[#This Row],[Ancho de pétalo]]&lt;=1.4,"ESTRECHO","ANCHO")</f>
        <v>ESTRECHO</v>
      </c>
      <c r="K51" s="92" t="s">
        <v>26</v>
      </c>
    </row>
    <row r="52" spans="2:11">
      <c r="B52" s="92">
        <v>5.4</v>
      </c>
      <c r="C52" s="92">
        <v>3.9</v>
      </c>
      <c r="D52" s="92">
        <v>1.7</v>
      </c>
      <c r="E52" s="92">
        <v>0.4</v>
      </c>
      <c r="F52" s="92" t="s">
        <v>25</v>
      </c>
      <c r="G52" s="92" t="str">
        <f>IF([1]!DataIris[[#This Row],[Largo de sépalo]]&lt;=5.5,"CORTO",IF([1]!DataIris[[#This Row],[Largo de sépalo]]&lt;=6.7,"MEDIANO","LARGO"))</f>
        <v>CORTO</v>
      </c>
      <c r="H52" s="92" t="str">
        <f>IF([1]!DataIris[[#This Row],[Ancho de sépalo]]&lt;=3.2,"ESTRECHO","ANCHO")</f>
        <v>ANCHO</v>
      </c>
      <c r="I52" s="92" t="str">
        <f>IF([1]!DataIris[[#This Row],[Largo de pétalo]]&lt;=3,"CORTO",IF([1]!DataIris[[#This Row],[Largo de pétalo]]&lt;=5,"MEDIANO","LARGO"))</f>
        <v>CORTO</v>
      </c>
      <c r="J52" s="92" t="str">
        <f>IF([1]!DataIris[[#This Row],[Ancho de pétalo]]&lt;=1.4,"ESTRECHO","ANCHO")</f>
        <v>ESTRECHO</v>
      </c>
      <c r="K52" s="92" t="s">
        <v>26</v>
      </c>
    </row>
    <row r="53" spans="2:11">
      <c r="B53" s="92">
        <v>5.4</v>
      </c>
      <c r="C53" s="92">
        <v>3</v>
      </c>
      <c r="D53" s="92">
        <v>4.5</v>
      </c>
      <c r="E53" s="92">
        <v>1.5</v>
      </c>
      <c r="F53" s="92" t="s">
        <v>26</v>
      </c>
      <c r="G53" s="92" t="str">
        <f>IF([1]!DataIris[[#This Row],[Largo de sépalo]]&lt;=5.5,"CORTO",IF([1]!DataIris[[#This Row],[Largo de sépalo]]&lt;=6.7,"MEDIANO","LARGO"))</f>
        <v>CORTO</v>
      </c>
      <c r="H53" s="92" t="str">
        <f>IF([1]!DataIris[[#This Row],[Ancho de sépalo]]&lt;=3.2,"ESTRECHO","ANCHO")</f>
        <v>ESTRECHO</v>
      </c>
      <c r="I53" s="92" t="str">
        <f>IF([1]!DataIris[[#This Row],[Largo de pétalo]]&lt;=3,"CORTO",IF([1]!DataIris[[#This Row],[Largo de pétalo]]&lt;=5,"MEDIANO","LARGO"))</f>
        <v>MEDIANO</v>
      </c>
      <c r="J53" s="92" t="str">
        <f>IF([1]!DataIris[[#This Row],[Ancho de pétalo]]&lt;=1.4,"ESTRECHO","ANCHO")</f>
        <v>ANCHO</v>
      </c>
      <c r="K53" s="92" t="s">
        <v>26</v>
      </c>
    </row>
    <row r="54" spans="2:11">
      <c r="B54" s="92">
        <v>5.5</v>
      </c>
      <c r="C54" s="92">
        <v>3.5</v>
      </c>
      <c r="D54" s="92">
        <v>1.3</v>
      </c>
      <c r="E54" s="92">
        <v>0.2</v>
      </c>
      <c r="F54" s="92" t="s">
        <v>25</v>
      </c>
      <c r="G54" s="92" t="str">
        <f>IF([1]!DataIris[[#This Row],[Largo de sépalo]]&lt;=5.5,"CORTO",IF([1]!DataIris[[#This Row],[Largo de sépalo]]&lt;=6.7,"MEDIANO","LARGO"))</f>
        <v>CORTO</v>
      </c>
      <c r="H54" s="92" t="str">
        <f>IF([1]!DataIris[[#This Row],[Ancho de sépalo]]&lt;=3.2,"ESTRECHO","ANCHO")</f>
        <v>ANCHO</v>
      </c>
      <c r="I54" s="92" t="str">
        <f>IF([1]!DataIris[[#This Row],[Largo de pétalo]]&lt;=3,"CORTO",IF([1]!DataIris[[#This Row],[Largo de pétalo]]&lt;=5,"MEDIANO","LARGO"))</f>
        <v>CORTO</v>
      </c>
      <c r="J54" s="92" t="str">
        <f>IF([1]!DataIris[[#This Row],[Ancho de pétalo]]&lt;=1.4,"ESTRECHO","ANCHO")</f>
        <v>ESTRECHO</v>
      </c>
      <c r="K54" s="92" t="s">
        <v>26</v>
      </c>
    </row>
    <row r="55" spans="2:11">
      <c r="B55" s="92">
        <v>5.5</v>
      </c>
      <c r="C55" s="92">
        <v>4.2</v>
      </c>
      <c r="D55" s="92">
        <v>1.4</v>
      </c>
      <c r="E55" s="92">
        <v>0.2</v>
      </c>
      <c r="F55" s="92" t="s">
        <v>25</v>
      </c>
      <c r="G55" s="92" t="str">
        <f>IF([1]!DataIris[[#This Row],[Largo de sépalo]]&lt;=5.5,"CORTO",IF([1]!DataIris[[#This Row],[Largo de sépalo]]&lt;=6.7,"MEDIANO","LARGO"))</f>
        <v>CORTO</v>
      </c>
      <c r="H55" s="92" t="str">
        <f>IF([1]!DataIris[[#This Row],[Ancho de sépalo]]&lt;=3.2,"ESTRECHO","ANCHO")</f>
        <v>ANCHO</v>
      </c>
      <c r="I55" s="92" t="str">
        <f>IF([1]!DataIris[[#This Row],[Largo de pétalo]]&lt;=3,"CORTO",IF([1]!DataIris[[#This Row],[Largo de pétalo]]&lt;=5,"MEDIANO","LARGO"))</f>
        <v>CORTO</v>
      </c>
      <c r="J55" s="92" t="str">
        <f>IF([1]!DataIris[[#This Row],[Ancho de pétalo]]&lt;=1.4,"ESTRECHO","ANCHO")</f>
        <v>ESTRECHO</v>
      </c>
      <c r="K55" s="92" t="s">
        <v>26</v>
      </c>
    </row>
    <row r="56" spans="2:11">
      <c r="B56" s="92">
        <v>5.5</v>
      </c>
      <c r="C56" s="92">
        <v>2.4</v>
      </c>
      <c r="D56" s="92">
        <v>3.7</v>
      </c>
      <c r="E56" s="92">
        <v>1</v>
      </c>
      <c r="F56" s="92" t="s">
        <v>26</v>
      </c>
      <c r="G56" s="92" t="str">
        <f>IF([1]!DataIris[[#This Row],[Largo de sépalo]]&lt;=5.5,"CORTO",IF([1]!DataIris[[#This Row],[Largo de sépalo]]&lt;=6.7,"MEDIANO","LARGO"))</f>
        <v>CORTO</v>
      </c>
      <c r="H56" s="92" t="str">
        <f>IF([1]!DataIris[[#This Row],[Ancho de sépalo]]&lt;=3.2,"ESTRECHO","ANCHO")</f>
        <v>ESTRECHO</v>
      </c>
      <c r="I56" s="92" t="str">
        <f>IF([1]!DataIris[[#This Row],[Largo de pétalo]]&lt;=3,"CORTO",IF([1]!DataIris[[#This Row],[Largo de pétalo]]&lt;=5,"MEDIANO","LARGO"))</f>
        <v>MEDIANO</v>
      </c>
      <c r="J56" s="92" t="str">
        <f>IF([1]!DataIris[[#This Row],[Ancho de pétalo]]&lt;=1.4,"ESTRECHO","ANCHO")</f>
        <v>ESTRECHO</v>
      </c>
      <c r="K56" s="92" t="s">
        <v>27</v>
      </c>
    </row>
    <row r="57" spans="2:11">
      <c r="B57" s="92">
        <v>5.5</v>
      </c>
      <c r="C57" s="92">
        <v>2.4</v>
      </c>
      <c r="D57" s="92">
        <v>3.8</v>
      </c>
      <c r="E57" s="92">
        <v>1.1000000000000001</v>
      </c>
      <c r="F57" s="92" t="s">
        <v>26</v>
      </c>
      <c r="G57" s="92" t="str">
        <f>IF([1]!DataIris[[#This Row],[Largo de sépalo]]&lt;=5.5,"CORTO",IF([1]!DataIris[[#This Row],[Largo de sépalo]]&lt;=6.7,"MEDIANO","LARGO"))</f>
        <v>CORTO</v>
      </c>
      <c r="H57" s="92" t="str">
        <f>IF([1]!DataIris[[#This Row],[Ancho de sépalo]]&lt;=3.2,"ESTRECHO","ANCHO")</f>
        <v>ESTRECHO</v>
      </c>
      <c r="I57" s="92" t="str">
        <f>IF([1]!DataIris[[#This Row],[Largo de pétalo]]&lt;=3,"CORTO",IF([1]!DataIris[[#This Row],[Largo de pétalo]]&lt;=5,"MEDIANO","LARGO"))</f>
        <v>MEDIANO</v>
      </c>
      <c r="J57" s="92" t="str">
        <f>IF([1]!DataIris[[#This Row],[Ancho de pétalo]]&lt;=1.4,"ESTRECHO","ANCHO")</f>
        <v>ESTRECHO</v>
      </c>
      <c r="K57" s="92" t="s">
        <v>27</v>
      </c>
    </row>
    <row r="58" spans="2:11">
      <c r="B58" s="92">
        <v>5.5</v>
      </c>
      <c r="C58" s="92">
        <v>2.6</v>
      </c>
      <c r="D58" s="92">
        <v>4.4000000000000004</v>
      </c>
      <c r="E58" s="92">
        <v>1.2</v>
      </c>
      <c r="F58" s="92" t="s">
        <v>26</v>
      </c>
      <c r="G58" s="92" t="str">
        <f>IF([1]!DataIris[[#This Row],[Largo de sépalo]]&lt;=5.5,"CORTO",IF([1]!DataIris[[#This Row],[Largo de sépalo]]&lt;=6.7,"MEDIANO","LARGO"))</f>
        <v>CORTO</v>
      </c>
      <c r="H58" s="92" t="str">
        <f>IF([1]!DataIris[[#This Row],[Ancho de sépalo]]&lt;=3.2,"ESTRECHO","ANCHO")</f>
        <v>ESTRECHO</v>
      </c>
      <c r="I58" s="92" t="str">
        <f>IF([1]!DataIris[[#This Row],[Largo de pétalo]]&lt;=3,"CORTO",IF([1]!DataIris[[#This Row],[Largo de pétalo]]&lt;=5,"MEDIANO","LARGO"))</f>
        <v>MEDIANO</v>
      </c>
      <c r="J58" s="92" t="str">
        <f>IF([1]!DataIris[[#This Row],[Ancho de pétalo]]&lt;=1.4,"ESTRECHO","ANCHO")</f>
        <v>ESTRECHO</v>
      </c>
      <c r="K58" s="92" t="s">
        <v>27</v>
      </c>
    </row>
    <row r="59" spans="2:11">
      <c r="B59" s="92">
        <v>5.5</v>
      </c>
      <c r="C59" s="92">
        <v>2.2999999999999998</v>
      </c>
      <c r="D59" s="92">
        <v>4</v>
      </c>
      <c r="E59" s="92">
        <v>1.3</v>
      </c>
      <c r="F59" s="92" t="s">
        <v>26</v>
      </c>
      <c r="G59" s="92" t="str">
        <f>IF([1]!DataIris[[#This Row],[Largo de sépalo]]&lt;=5.5,"CORTO",IF([1]!DataIris[[#This Row],[Largo de sépalo]]&lt;=6.7,"MEDIANO","LARGO"))</f>
        <v>CORTO</v>
      </c>
      <c r="H59" s="92" t="str">
        <f>IF([1]!DataIris[[#This Row],[Ancho de sépalo]]&lt;=3.2,"ESTRECHO","ANCHO")</f>
        <v>ESTRECHO</v>
      </c>
      <c r="I59" s="92" t="str">
        <f>IF([1]!DataIris[[#This Row],[Largo de pétalo]]&lt;=3,"CORTO",IF([1]!DataIris[[#This Row],[Largo de pétalo]]&lt;=5,"MEDIANO","LARGO"))</f>
        <v>MEDIANO</v>
      </c>
      <c r="J59" s="92" t="str">
        <f>IF([1]!DataIris[[#This Row],[Ancho de pétalo]]&lt;=1.4,"ESTRECHO","ANCHO")</f>
        <v>ESTRECHO</v>
      </c>
      <c r="K59" s="92" t="s">
        <v>26</v>
      </c>
    </row>
    <row r="60" spans="2:11">
      <c r="B60" s="92">
        <v>5.5</v>
      </c>
      <c r="C60" s="92">
        <v>2.5</v>
      </c>
      <c r="D60" s="92">
        <v>4</v>
      </c>
      <c r="E60" s="92">
        <v>1.3</v>
      </c>
      <c r="F60" s="92" t="s">
        <v>26</v>
      </c>
      <c r="G60" s="92" t="str">
        <f>IF([1]!DataIris[[#This Row],[Largo de sépalo]]&lt;=5.5,"CORTO",IF([1]!DataIris[[#This Row],[Largo de sépalo]]&lt;=6.7,"MEDIANO","LARGO"))</f>
        <v>CORTO</v>
      </c>
      <c r="H60" s="92" t="str">
        <f>IF([1]!DataIris[[#This Row],[Ancho de sépalo]]&lt;=3.2,"ESTRECHO","ANCHO")</f>
        <v>ESTRECHO</v>
      </c>
      <c r="I60" s="92" t="str">
        <f>IF([1]!DataIris[[#This Row],[Largo de pétalo]]&lt;=3,"CORTO",IF([1]!DataIris[[#This Row],[Largo de pétalo]]&lt;=5,"MEDIANO","LARGO"))</f>
        <v>MEDIANO</v>
      </c>
      <c r="J60" s="92" t="str">
        <f>IF([1]!DataIris[[#This Row],[Ancho de pétalo]]&lt;=1.4,"ESTRECHO","ANCHO")</f>
        <v>ESTRECHO</v>
      </c>
      <c r="K60" s="92" t="s">
        <v>26</v>
      </c>
    </row>
    <row r="61" spans="2:11">
      <c r="B61" s="92">
        <v>5.6</v>
      </c>
      <c r="C61" s="92">
        <v>2.5</v>
      </c>
      <c r="D61" s="92">
        <v>3.9</v>
      </c>
      <c r="E61" s="92">
        <v>1.1000000000000001</v>
      </c>
      <c r="F61" s="92" t="s">
        <v>26</v>
      </c>
      <c r="G61" s="92" t="str">
        <f>IF([1]!DataIris[[#This Row],[Largo de sépalo]]&lt;=5.5,"CORTO",IF([1]!DataIris[[#This Row],[Largo de sépalo]]&lt;=6.7,"MEDIANO","LARGO"))</f>
        <v>MEDIANO</v>
      </c>
      <c r="H61" s="92" t="str">
        <f>IF([1]!DataIris[[#This Row],[Ancho de sépalo]]&lt;=3.2,"ESTRECHO","ANCHO")</f>
        <v>ESTRECHO</v>
      </c>
      <c r="I61" s="92" t="str">
        <f>IF([1]!DataIris[[#This Row],[Largo de pétalo]]&lt;=3,"CORTO",IF([1]!DataIris[[#This Row],[Largo de pétalo]]&lt;=5,"MEDIANO","LARGO"))</f>
        <v>MEDIANO</v>
      </c>
      <c r="J61" s="92" t="str">
        <f>IF([1]!DataIris[[#This Row],[Ancho de pétalo]]&lt;=1.4,"ESTRECHO","ANCHO")</f>
        <v>ESTRECHO</v>
      </c>
      <c r="K61" s="92" t="s">
        <v>27</v>
      </c>
    </row>
    <row r="62" spans="2:11">
      <c r="B62" s="92">
        <v>5.6</v>
      </c>
      <c r="C62" s="92">
        <v>2.9</v>
      </c>
      <c r="D62" s="92">
        <v>3.6</v>
      </c>
      <c r="E62" s="92">
        <v>1.3</v>
      </c>
      <c r="F62" s="92" t="s">
        <v>26</v>
      </c>
      <c r="G62" s="92" t="str">
        <f>IF([1]!DataIris[[#This Row],[Largo de sépalo]]&lt;=5.5,"CORTO",IF([1]!DataIris[[#This Row],[Largo de sépalo]]&lt;=6.7,"MEDIANO","LARGO"))</f>
        <v>MEDIANO</v>
      </c>
      <c r="H62" s="92" t="str">
        <f>IF([1]!DataIris[[#This Row],[Ancho de sépalo]]&lt;=3.2,"ESTRECHO","ANCHO")</f>
        <v>ESTRECHO</v>
      </c>
      <c r="I62" s="92" t="str">
        <f>IF([1]!DataIris[[#This Row],[Largo de pétalo]]&lt;=3,"CORTO",IF([1]!DataIris[[#This Row],[Largo de pétalo]]&lt;=5,"MEDIANO","LARGO"))</f>
        <v>MEDIANO</v>
      </c>
      <c r="J62" s="92" t="str">
        <f>IF([1]!DataIris[[#This Row],[Ancho de pétalo]]&lt;=1.4,"ESTRECHO","ANCHO")</f>
        <v>ESTRECHO</v>
      </c>
      <c r="K62" s="92" t="s">
        <v>27</v>
      </c>
    </row>
    <row r="63" spans="2:11">
      <c r="B63" s="92">
        <v>5.6</v>
      </c>
      <c r="C63" s="92">
        <v>3</v>
      </c>
      <c r="D63" s="92">
        <v>4.0999999999999996</v>
      </c>
      <c r="E63" s="92">
        <v>1.3</v>
      </c>
      <c r="F63" s="92" t="s">
        <v>26</v>
      </c>
      <c r="G63" s="92" t="str">
        <f>IF([1]!DataIris[[#This Row],[Largo de sépalo]]&lt;=5.5,"CORTO",IF([1]!DataIris[[#This Row],[Largo de sépalo]]&lt;=6.7,"MEDIANO","LARGO"))</f>
        <v>MEDIANO</v>
      </c>
      <c r="H63" s="92" t="str">
        <f>IF([1]!DataIris[[#This Row],[Ancho de sépalo]]&lt;=3.2,"ESTRECHO","ANCHO")</f>
        <v>ESTRECHO</v>
      </c>
      <c r="I63" s="92" t="str">
        <f>IF([1]!DataIris[[#This Row],[Largo de pétalo]]&lt;=3,"CORTO",IF([1]!DataIris[[#This Row],[Largo de pétalo]]&lt;=5,"MEDIANO","LARGO"))</f>
        <v>MEDIANO</v>
      </c>
      <c r="J63" s="92" t="str">
        <f>IF([1]!DataIris[[#This Row],[Ancho de pétalo]]&lt;=1.4,"ESTRECHO","ANCHO")</f>
        <v>ESTRECHO</v>
      </c>
      <c r="K63" s="92" t="s">
        <v>26</v>
      </c>
    </row>
    <row r="64" spans="2:11">
      <c r="B64" s="92">
        <v>5.6</v>
      </c>
      <c r="C64" s="92">
        <v>2.7</v>
      </c>
      <c r="D64" s="92">
        <v>4.2</v>
      </c>
      <c r="E64" s="92">
        <v>1.3</v>
      </c>
      <c r="F64" s="92" t="s">
        <v>26</v>
      </c>
      <c r="G64" s="92" t="str">
        <f>IF([1]!DataIris[[#This Row],[Largo de sépalo]]&lt;=5.5,"CORTO",IF([1]!DataIris[[#This Row],[Largo de sépalo]]&lt;=6.7,"MEDIANO","LARGO"))</f>
        <v>MEDIANO</v>
      </c>
      <c r="H64" s="92" t="str">
        <f>IF([1]!DataIris[[#This Row],[Ancho de sépalo]]&lt;=3.2,"ESTRECHO","ANCHO")</f>
        <v>ESTRECHO</v>
      </c>
      <c r="I64" s="92" t="str">
        <f>IF([1]!DataIris[[#This Row],[Largo de pétalo]]&lt;=3,"CORTO",IF([1]!DataIris[[#This Row],[Largo de pétalo]]&lt;=5,"MEDIANO","LARGO"))</f>
        <v>MEDIANO</v>
      </c>
      <c r="J64" s="92" t="str">
        <f>IF([1]!DataIris[[#This Row],[Ancho de pétalo]]&lt;=1.4,"ESTRECHO","ANCHO")</f>
        <v>ESTRECHO</v>
      </c>
      <c r="K64" s="92" t="s">
        <v>26</v>
      </c>
    </row>
    <row r="65" spans="2:11">
      <c r="B65" s="92">
        <v>5.6</v>
      </c>
      <c r="C65" s="92">
        <v>3</v>
      </c>
      <c r="D65" s="92">
        <v>4.5</v>
      </c>
      <c r="E65" s="92">
        <v>1.5</v>
      </c>
      <c r="F65" s="92" t="s">
        <v>26</v>
      </c>
      <c r="G65" s="92" t="str">
        <f>IF([1]!DataIris[[#This Row],[Largo de sépalo]]&lt;=5.5,"CORTO",IF([1]!DataIris[[#This Row],[Largo de sépalo]]&lt;=6.7,"MEDIANO","LARGO"))</f>
        <v>MEDIANO</v>
      </c>
      <c r="H65" s="92" t="str">
        <f>IF([1]!DataIris[[#This Row],[Ancho de sépalo]]&lt;=3.2,"ESTRECHO","ANCHO")</f>
        <v>ESTRECHO</v>
      </c>
      <c r="I65" s="92" t="str">
        <f>IF([1]!DataIris[[#This Row],[Largo de pétalo]]&lt;=3,"CORTO",IF([1]!DataIris[[#This Row],[Largo de pétalo]]&lt;=5,"MEDIANO","LARGO"))</f>
        <v>MEDIANO</v>
      </c>
      <c r="J65" s="92" t="str">
        <f>IF([1]!DataIris[[#This Row],[Ancho de pétalo]]&lt;=1.4,"ESTRECHO","ANCHO")</f>
        <v>ANCHO</v>
      </c>
      <c r="K65" s="92" t="s">
        <v>26</v>
      </c>
    </row>
    <row r="66" spans="2:11">
      <c r="B66" s="92">
        <v>5.6</v>
      </c>
      <c r="C66" s="92">
        <v>2.8</v>
      </c>
      <c r="D66" s="92">
        <v>4.9000000000000004</v>
      </c>
      <c r="E66" s="92">
        <v>2</v>
      </c>
      <c r="F66" s="92" t="s">
        <v>27</v>
      </c>
      <c r="G66" s="92" t="str">
        <f>IF([1]!DataIris[[#This Row],[Largo de sépalo]]&lt;=5.5,"CORTO",IF([1]!DataIris[[#This Row],[Largo de sépalo]]&lt;=6.7,"MEDIANO","LARGO"))</f>
        <v>MEDIANO</v>
      </c>
      <c r="H66" s="92" t="str">
        <f>IF([1]!DataIris[[#This Row],[Ancho de sépalo]]&lt;=3.2,"ESTRECHO","ANCHO")</f>
        <v>ESTRECHO</v>
      </c>
      <c r="I66" s="92" t="str">
        <f>IF([1]!DataIris[[#This Row],[Largo de pétalo]]&lt;=3,"CORTO",IF([1]!DataIris[[#This Row],[Largo de pétalo]]&lt;=5,"MEDIANO","LARGO"))</f>
        <v>MEDIANO</v>
      </c>
      <c r="J66" s="92" t="str">
        <f>IF([1]!DataIris[[#This Row],[Ancho de pétalo]]&lt;=1.4,"ESTRECHO","ANCHO")</f>
        <v>ANCHO</v>
      </c>
      <c r="K66" s="92" t="s">
        <v>26</v>
      </c>
    </row>
    <row r="67" spans="2:11">
      <c r="B67" s="92">
        <v>5.7</v>
      </c>
      <c r="C67" s="92">
        <v>3.8</v>
      </c>
      <c r="D67" s="92">
        <v>1.7</v>
      </c>
      <c r="E67" s="92">
        <v>0.3</v>
      </c>
      <c r="F67" s="92" t="s">
        <v>25</v>
      </c>
      <c r="G67" s="92" t="str">
        <f>IF([1]!DataIris[[#This Row],[Largo de sépalo]]&lt;=5.5,"CORTO",IF([1]!DataIris[[#This Row],[Largo de sépalo]]&lt;=6.7,"MEDIANO","LARGO"))</f>
        <v>MEDIANO</v>
      </c>
      <c r="H67" s="92" t="str">
        <f>IF([1]!DataIris[[#This Row],[Ancho de sépalo]]&lt;=3.2,"ESTRECHO","ANCHO")</f>
        <v>ANCHO</v>
      </c>
      <c r="I67" s="92" t="str">
        <f>IF([1]!DataIris[[#This Row],[Largo de pétalo]]&lt;=3,"CORTO",IF([1]!DataIris[[#This Row],[Largo de pétalo]]&lt;=5,"MEDIANO","LARGO"))</f>
        <v>CORTO</v>
      </c>
      <c r="J67" s="92" t="str">
        <f>IF([1]!DataIris[[#This Row],[Ancho de pétalo]]&lt;=1.4,"ESTRECHO","ANCHO")</f>
        <v>ESTRECHO</v>
      </c>
      <c r="K67" s="92" t="s">
        <v>27</v>
      </c>
    </row>
    <row r="68" spans="2:11">
      <c r="B68" s="92">
        <v>5.7</v>
      </c>
      <c r="C68" s="92">
        <v>4.4000000000000004</v>
      </c>
      <c r="D68" s="92">
        <v>1.5</v>
      </c>
      <c r="E68" s="92">
        <v>0.4</v>
      </c>
      <c r="F68" s="92" t="s">
        <v>25</v>
      </c>
      <c r="G68" s="92" t="str">
        <f>IF([1]!DataIris[[#This Row],[Largo de sépalo]]&lt;=5.5,"CORTO",IF([1]!DataIris[[#This Row],[Largo de sépalo]]&lt;=6.7,"MEDIANO","LARGO"))</f>
        <v>MEDIANO</v>
      </c>
      <c r="H68" s="92" t="str">
        <f>IF([1]!DataIris[[#This Row],[Ancho de sépalo]]&lt;=3.2,"ESTRECHO","ANCHO")</f>
        <v>ANCHO</v>
      </c>
      <c r="I68" s="92" t="str">
        <f>IF([1]!DataIris[[#This Row],[Largo de pétalo]]&lt;=3,"CORTO",IF([1]!DataIris[[#This Row],[Largo de pétalo]]&lt;=5,"MEDIANO","LARGO"))</f>
        <v>CORTO</v>
      </c>
      <c r="J68" s="92" t="str">
        <f>IF([1]!DataIris[[#This Row],[Ancho de pétalo]]&lt;=1.4,"ESTRECHO","ANCHO")</f>
        <v>ESTRECHO</v>
      </c>
      <c r="K68" s="92" t="s">
        <v>27</v>
      </c>
    </row>
    <row r="69" spans="2:11">
      <c r="B69" s="92">
        <v>5.7</v>
      </c>
      <c r="C69" s="92">
        <v>2.6</v>
      </c>
      <c r="D69" s="92">
        <v>3.5</v>
      </c>
      <c r="E69" s="92">
        <v>1</v>
      </c>
      <c r="F69" s="92" t="s">
        <v>26</v>
      </c>
      <c r="G69" s="92" t="str">
        <f>IF([1]!DataIris[[#This Row],[Largo de sépalo]]&lt;=5.5,"CORTO",IF([1]!DataIris[[#This Row],[Largo de sépalo]]&lt;=6.7,"MEDIANO","LARGO"))</f>
        <v>MEDIANO</v>
      </c>
      <c r="H69" s="92" t="str">
        <f>IF([1]!DataIris[[#This Row],[Ancho de sépalo]]&lt;=3.2,"ESTRECHO","ANCHO")</f>
        <v>ESTRECHO</v>
      </c>
      <c r="I69" s="92" t="str">
        <f>IF([1]!DataIris[[#This Row],[Largo de pétalo]]&lt;=3,"CORTO",IF([1]!DataIris[[#This Row],[Largo de pétalo]]&lt;=5,"MEDIANO","LARGO"))</f>
        <v>MEDIANO</v>
      </c>
      <c r="J69" s="92" t="str">
        <f>IF([1]!DataIris[[#This Row],[Ancho de pétalo]]&lt;=1.4,"ESTRECHO","ANCHO")</f>
        <v>ESTRECHO</v>
      </c>
      <c r="K69" s="92" t="s">
        <v>26</v>
      </c>
    </row>
    <row r="70" spans="2:11">
      <c r="B70" s="92">
        <v>5.7</v>
      </c>
      <c r="C70" s="92">
        <v>3</v>
      </c>
      <c r="D70" s="92">
        <v>4.2</v>
      </c>
      <c r="E70" s="92">
        <v>1.2</v>
      </c>
      <c r="F70" s="92" t="s">
        <v>26</v>
      </c>
      <c r="G70" s="92" t="str">
        <f>IF([1]!DataIris[[#This Row],[Largo de sépalo]]&lt;=5.5,"CORTO",IF([1]!DataIris[[#This Row],[Largo de sépalo]]&lt;=6.7,"MEDIANO","LARGO"))</f>
        <v>MEDIANO</v>
      </c>
      <c r="H70" s="92" t="str">
        <f>IF([1]!DataIris[[#This Row],[Ancho de sépalo]]&lt;=3.2,"ESTRECHO","ANCHO")</f>
        <v>ESTRECHO</v>
      </c>
      <c r="I70" s="92" t="str">
        <f>IF([1]!DataIris[[#This Row],[Largo de pétalo]]&lt;=3,"CORTO",IF([1]!DataIris[[#This Row],[Largo de pétalo]]&lt;=5,"MEDIANO","LARGO"))</f>
        <v>MEDIANO</v>
      </c>
      <c r="J70" s="92" t="str">
        <f>IF([1]!DataIris[[#This Row],[Ancho de pétalo]]&lt;=1.4,"ESTRECHO","ANCHO")</f>
        <v>ESTRECHO</v>
      </c>
      <c r="K70" s="92" t="s">
        <v>26</v>
      </c>
    </row>
    <row r="71" spans="2:11">
      <c r="B71" s="92">
        <v>5.7</v>
      </c>
      <c r="C71" s="92">
        <v>2.8</v>
      </c>
      <c r="D71" s="92">
        <v>4.0999999999999996</v>
      </c>
      <c r="E71" s="92">
        <v>1.3</v>
      </c>
      <c r="F71" s="92" t="s">
        <v>26</v>
      </c>
      <c r="G71" s="92" t="str">
        <f>IF([1]!DataIris[[#This Row],[Largo de sépalo]]&lt;=5.5,"CORTO",IF([1]!DataIris[[#This Row],[Largo de sépalo]]&lt;=6.7,"MEDIANO","LARGO"))</f>
        <v>MEDIANO</v>
      </c>
      <c r="H71" s="92" t="str">
        <f>IF([1]!DataIris[[#This Row],[Ancho de sépalo]]&lt;=3.2,"ESTRECHO","ANCHO")</f>
        <v>ESTRECHO</v>
      </c>
      <c r="I71" s="92" t="str">
        <f>IF([1]!DataIris[[#This Row],[Largo de pétalo]]&lt;=3,"CORTO",IF([1]!DataIris[[#This Row],[Largo de pétalo]]&lt;=5,"MEDIANO","LARGO"))</f>
        <v>MEDIANO</v>
      </c>
      <c r="J71" s="92" t="str">
        <f>IF([1]!DataIris[[#This Row],[Ancho de pétalo]]&lt;=1.4,"ESTRECHO","ANCHO")</f>
        <v>ESTRECHO</v>
      </c>
      <c r="K71" s="92" t="s">
        <v>26</v>
      </c>
    </row>
    <row r="72" spans="2:11">
      <c r="B72" s="92">
        <v>5.7</v>
      </c>
      <c r="C72" s="92">
        <v>2.9</v>
      </c>
      <c r="D72" s="92">
        <v>4.2</v>
      </c>
      <c r="E72" s="92">
        <v>1.3</v>
      </c>
      <c r="F72" s="92" t="s">
        <v>26</v>
      </c>
      <c r="G72" s="92" t="str">
        <f>IF([1]!DataIris[[#This Row],[Largo de sépalo]]&lt;=5.5,"CORTO",IF([1]!DataIris[[#This Row],[Largo de sépalo]]&lt;=6.7,"MEDIANO","LARGO"))</f>
        <v>MEDIANO</v>
      </c>
      <c r="H72" s="92" t="str">
        <f>IF([1]!DataIris[[#This Row],[Ancho de sépalo]]&lt;=3.2,"ESTRECHO","ANCHO")</f>
        <v>ESTRECHO</v>
      </c>
      <c r="I72" s="92" t="str">
        <f>IF([1]!DataIris[[#This Row],[Largo de pétalo]]&lt;=3,"CORTO",IF([1]!DataIris[[#This Row],[Largo de pétalo]]&lt;=5,"MEDIANO","LARGO"))</f>
        <v>MEDIANO</v>
      </c>
      <c r="J72" s="92" t="str">
        <f>IF([1]!DataIris[[#This Row],[Ancho de pétalo]]&lt;=1.4,"ESTRECHO","ANCHO")</f>
        <v>ESTRECHO</v>
      </c>
      <c r="K72" s="92" t="s">
        <v>26</v>
      </c>
    </row>
    <row r="73" spans="2:11">
      <c r="B73" s="92">
        <v>5.7</v>
      </c>
      <c r="C73" s="92">
        <v>2.8</v>
      </c>
      <c r="D73" s="92">
        <v>4.5</v>
      </c>
      <c r="E73" s="92">
        <v>1.3</v>
      </c>
      <c r="F73" s="92" t="s">
        <v>26</v>
      </c>
      <c r="G73" s="92" t="str">
        <f>IF([1]!DataIris[[#This Row],[Largo de sépalo]]&lt;=5.5,"CORTO",IF([1]!DataIris[[#This Row],[Largo de sépalo]]&lt;=6.7,"MEDIANO","LARGO"))</f>
        <v>MEDIANO</v>
      </c>
      <c r="H73" s="92" t="str">
        <f>IF([1]!DataIris[[#This Row],[Ancho de sépalo]]&lt;=3.2,"ESTRECHO","ANCHO")</f>
        <v>ESTRECHO</v>
      </c>
      <c r="I73" s="92" t="str">
        <f>IF([1]!DataIris[[#This Row],[Largo de pétalo]]&lt;=3,"CORTO",IF([1]!DataIris[[#This Row],[Largo de pétalo]]&lt;=5,"MEDIANO","LARGO"))</f>
        <v>MEDIANO</v>
      </c>
      <c r="J73" s="92" t="str">
        <f>IF([1]!DataIris[[#This Row],[Ancho de pétalo]]&lt;=1.4,"ESTRECHO","ANCHO")</f>
        <v>ESTRECHO</v>
      </c>
      <c r="K73" s="92" t="s">
        <v>27</v>
      </c>
    </row>
    <row r="74" spans="2:11">
      <c r="B74" s="92">
        <v>5.7</v>
      </c>
      <c r="C74" s="92">
        <v>2.5</v>
      </c>
      <c r="D74" s="92">
        <v>5</v>
      </c>
      <c r="E74" s="92">
        <v>2</v>
      </c>
      <c r="F74" s="92" t="s">
        <v>27</v>
      </c>
      <c r="G74" s="92" t="str">
        <f>IF([1]!DataIris[[#This Row],[Largo de sépalo]]&lt;=5.5,"CORTO",IF([1]!DataIris[[#This Row],[Largo de sépalo]]&lt;=6.7,"MEDIANO","LARGO"))</f>
        <v>MEDIANO</v>
      </c>
      <c r="H74" s="92" t="str">
        <f>IF([1]!DataIris[[#This Row],[Ancho de sépalo]]&lt;=3.2,"ESTRECHO","ANCHO")</f>
        <v>ESTRECHO</v>
      </c>
      <c r="I74" s="92" t="str">
        <f>IF([1]!DataIris[[#This Row],[Largo de pétalo]]&lt;=3,"CORTO",IF([1]!DataIris[[#This Row],[Largo de pétalo]]&lt;=5,"MEDIANO","LARGO"))</f>
        <v>MEDIANO</v>
      </c>
      <c r="J74" s="92" t="str">
        <f>IF([1]!DataIris[[#This Row],[Ancho de pétalo]]&lt;=1.4,"ESTRECHO","ANCHO")</f>
        <v>ANCHO</v>
      </c>
      <c r="K74" s="92" t="s">
        <v>27</v>
      </c>
    </row>
    <row r="75" spans="2:11">
      <c r="B75" s="92">
        <v>5.8</v>
      </c>
      <c r="C75" s="92">
        <v>4</v>
      </c>
      <c r="D75" s="92">
        <v>1.2</v>
      </c>
      <c r="E75" s="92">
        <v>0.2</v>
      </c>
      <c r="F75" s="92" t="s">
        <v>25</v>
      </c>
      <c r="G75" s="92" t="str">
        <f>IF([1]!DataIris[[#This Row],[Largo de sépalo]]&lt;=5.5,"CORTO",IF([1]!DataIris[[#This Row],[Largo de sépalo]]&lt;=6.7,"MEDIANO","LARGO"))</f>
        <v>MEDIANO</v>
      </c>
      <c r="H75" s="92" t="str">
        <f>IF([1]!DataIris[[#This Row],[Ancho de sépalo]]&lt;=3.2,"ESTRECHO","ANCHO")</f>
        <v>ANCHO</v>
      </c>
      <c r="I75" s="92" t="str">
        <f>IF([1]!DataIris[[#This Row],[Largo de pétalo]]&lt;=3,"CORTO",IF([1]!DataIris[[#This Row],[Largo de pétalo]]&lt;=5,"MEDIANO","LARGO"))</f>
        <v>CORTO</v>
      </c>
      <c r="J75" s="92" t="str">
        <f>IF([1]!DataIris[[#This Row],[Ancho de pétalo]]&lt;=1.4,"ESTRECHO","ANCHO")</f>
        <v>ESTRECHO</v>
      </c>
      <c r="K75" s="92" t="s">
        <v>26</v>
      </c>
    </row>
    <row r="76" spans="2:11">
      <c r="B76" s="92">
        <v>5.8</v>
      </c>
      <c r="C76" s="92">
        <v>2.7</v>
      </c>
      <c r="D76" s="92">
        <v>4.0999999999999996</v>
      </c>
      <c r="E76" s="92">
        <v>1</v>
      </c>
      <c r="F76" s="92" t="s">
        <v>26</v>
      </c>
      <c r="G76" s="92" t="str">
        <f>IF([1]!DataIris[[#This Row],[Largo de sépalo]]&lt;=5.5,"CORTO",IF([1]!DataIris[[#This Row],[Largo de sépalo]]&lt;=6.7,"MEDIANO","LARGO"))</f>
        <v>MEDIANO</v>
      </c>
      <c r="H76" s="92" t="str">
        <f>IF([1]!DataIris[[#This Row],[Ancho de sépalo]]&lt;=3.2,"ESTRECHO","ANCHO")</f>
        <v>ESTRECHO</v>
      </c>
      <c r="I76" s="92" t="str">
        <f>IF([1]!DataIris[[#This Row],[Largo de pétalo]]&lt;=3,"CORTO",IF([1]!DataIris[[#This Row],[Largo de pétalo]]&lt;=5,"MEDIANO","LARGO"))</f>
        <v>MEDIANO</v>
      </c>
      <c r="J76" s="92" t="str">
        <f>IF([1]!DataIris[[#This Row],[Ancho de pétalo]]&lt;=1.4,"ESTRECHO","ANCHO")</f>
        <v>ESTRECHO</v>
      </c>
      <c r="K76" s="92" t="s">
        <v>27</v>
      </c>
    </row>
    <row r="77" spans="2:11">
      <c r="B77" s="92">
        <v>5.8</v>
      </c>
      <c r="C77" s="92">
        <v>2.7</v>
      </c>
      <c r="D77" s="92">
        <v>3.9</v>
      </c>
      <c r="E77" s="92">
        <v>1.2</v>
      </c>
      <c r="F77" s="92" t="s">
        <v>26</v>
      </c>
      <c r="G77" s="92" t="str">
        <f>IF([1]!DataIris[[#This Row],[Largo de sépalo]]&lt;=5.5,"CORTO",IF([1]!DataIris[[#This Row],[Largo de sépalo]]&lt;=6.7,"MEDIANO","LARGO"))</f>
        <v>MEDIANO</v>
      </c>
      <c r="H77" s="92" t="str">
        <f>IF([1]!DataIris[[#This Row],[Ancho de sépalo]]&lt;=3.2,"ESTRECHO","ANCHO")</f>
        <v>ESTRECHO</v>
      </c>
      <c r="I77" s="92" t="str">
        <f>IF([1]!DataIris[[#This Row],[Largo de pétalo]]&lt;=3,"CORTO",IF([1]!DataIris[[#This Row],[Largo de pétalo]]&lt;=5,"MEDIANO","LARGO"))</f>
        <v>MEDIANO</v>
      </c>
      <c r="J77" s="92" t="str">
        <f>IF([1]!DataIris[[#This Row],[Ancho de pétalo]]&lt;=1.4,"ESTRECHO","ANCHO")</f>
        <v>ESTRECHO</v>
      </c>
      <c r="K77" s="92" t="s">
        <v>26</v>
      </c>
    </row>
    <row r="78" spans="2:11">
      <c r="B78" s="92">
        <v>5.8</v>
      </c>
      <c r="C78" s="92">
        <v>2.6</v>
      </c>
      <c r="D78" s="92">
        <v>4</v>
      </c>
      <c r="E78" s="92">
        <v>1.2</v>
      </c>
      <c r="F78" s="92" t="s">
        <v>26</v>
      </c>
      <c r="G78" s="92" t="str">
        <f>IF([1]!DataIris[[#This Row],[Largo de sépalo]]&lt;=5.5,"CORTO",IF([1]!DataIris[[#This Row],[Largo de sépalo]]&lt;=6.7,"MEDIANO","LARGO"))</f>
        <v>MEDIANO</v>
      </c>
      <c r="H78" s="92" t="str">
        <f>IF([1]!DataIris[[#This Row],[Ancho de sépalo]]&lt;=3.2,"ESTRECHO","ANCHO")</f>
        <v>ESTRECHO</v>
      </c>
      <c r="I78" s="92" t="str">
        <f>IF([1]!DataIris[[#This Row],[Largo de pétalo]]&lt;=3,"CORTO",IF([1]!DataIris[[#This Row],[Largo de pétalo]]&lt;=5,"MEDIANO","LARGO"))</f>
        <v>MEDIANO</v>
      </c>
      <c r="J78" s="92" t="str">
        <f>IF([1]!DataIris[[#This Row],[Ancho de pétalo]]&lt;=1.4,"ESTRECHO","ANCHO")</f>
        <v>ESTRECHO</v>
      </c>
      <c r="K78" s="92" t="s">
        <v>26</v>
      </c>
    </row>
    <row r="79" spans="2:11">
      <c r="B79" s="92">
        <v>5.8</v>
      </c>
      <c r="C79" s="92">
        <v>2.7</v>
      </c>
      <c r="D79" s="92">
        <v>5.0999999999999996</v>
      </c>
      <c r="E79" s="92">
        <v>1.9</v>
      </c>
      <c r="F79" s="92" t="s">
        <v>27</v>
      </c>
      <c r="G79" s="92" t="str">
        <f>IF([1]!DataIris[[#This Row],[Largo de sépalo]]&lt;=5.5,"CORTO",IF([1]!DataIris[[#This Row],[Largo de sépalo]]&lt;=6.7,"MEDIANO","LARGO"))</f>
        <v>MEDIANO</v>
      </c>
      <c r="H79" s="92" t="str">
        <f>IF([1]!DataIris[[#This Row],[Ancho de sépalo]]&lt;=3.2,"ESTRECHO","ANCHO")</f>
        <v>ESTRECHO</v>
      </c>
      <c r="I79" s="92" t="str">
        <f>IF([1]!DataIris[[#This Row],[Largo de pétalo]]&lt;=3,"CORTO",IF([1]!DataIris[[#This Row],[Largo de pétalo]]&lt;=5,"MEDIANO","LARGO"))</f>
        <v>LARGO</v>
      </c>
      <c r="J79" s="92" t="str">
        <f>IF([1]!DataIris[[#This Row],[Ancho de pétalo]]&lt;=1.4,"ESTRECHO","ANCHO")</f>
        <v>ANCHO</v>
      </c>
      <c r="K79" s="92" t="s">
        <v>27</v>
      </c>
    </row>
    <row r="80" spans="2:11">
      <c r="B80" s="92">
        <v>5.8</v>
      </c>
      <c r="C80" s="92">
        <v>2.7</v>
      </c>
      <c r="D80" s="92">
        <v>5.0999999999999996</v>
      </c>
      <c r="E80" s="92">
        <v>1.9</v>
      </c>
      <c r="F80" s="92" t="s">
        <v>27</v>
      </c>
      <c r="G80" s="92" t="str">
        <f>IF([1]!DataIris[[#This Row],[Largo de sépalo]]&lt;=5.5,"CORTO",IF([1]!DataIris[[#This Row],[Largo de sépalo]]&lt;=6.7,"MEDIANO","LARGO"))</f>
        <v>MEDIANO</v>
      </c>
      <c r="H80" s="92" t="str">
        <f>IF([1]!DataIris[[#This Row],[Ancho de sépalo]]&lt;=3.2,"ESTRECHO","ANCHO")</f>
        <v>ESTRECHO</v>
      </c>
      <c r="I80" s="92" t="str">
        <f>IF([1]!DataIris[[#This Row],[Largo de pétalo]]&lt;=3,"CORTO",IF([1]!DataIris[[#This Row],[Largo de pétalo]]&lt;=5,"MEDIANO","LARGO"))</f>
        <v>LARGO</v>
      </c>
      <c r="J80" s="92" t="str">
        <f>IF([1]!DataIris[[#This Row],[Ancho de pétalo]]&lt;=1.4,"ESTRECHO","ANCHO")</f>
        <v>ANCHO</v>
      </c>
      <c r="K80" s="92" t="s">
        <v>27</v>
      </c>
    </row>
    <row r="81" spans="2:11">
      <c r="B81" s="92">
        <v>5.8</v>
      </c>
      <c r="C81" s="92">
        <v>2.8</v>
      </c>
      <c r="D81" s="92">
        <v>5.0999999999999996</v>
      </c>
      <c r="E81" s="92">
        <v>2.4</v>
      </c>
      <c r="F81" s="92" t="s">
        <v>27</v>
      </c>
      <c r="G81" s="92" t="str">
        <f>IF([1]!DataIris[[#This Row],[Largo de sépalo]]&lt;=5.5,"CORTO",IF([1]!DataIris[[#This Row],[Largo de sépalo]]&lt;=6.7,"MEDIANO","LARGO"))</f>
        <v>MEDIANO</v>
      </c>
      <c r="H81" s="92" t="str">
        <f>IF([1]!DataIris[[#This Row],[Ancho de sépalo]]&lt;=3.2,"ESTRECHO","ANCHO")</f>
        <v>ESTRECHO</v>
      </c>
      <c r="I81" s="92" t="str">
        <f>IF([1]!DataIris[[#This Row],[Largo de pétalo]]&lt;=3,"CORTO",IF([1]!DataIris[[#This Row],[Largo de pétalo]]&lt;=5,"MEDIANO","LARGO"))</f>
        <v>LARGO</v>
      </c>
      <c r="J81" s="92" t="str">
        <f>IF([1]!DataIris[[#This Row],[Ancho de pétalo]]&lt;=1.4,"ESTRECHO","ANCHO")</f>
        <v>ANCHO</v>
      </c>
      <c r="K81" s="92" t="s">
        <v>27</v>
      </c>
    </row>
    <row r="82" spans="2:11">
      <c r="B82" s="92">
        <v>5.9</v>
      </c>
      <c r="C82" s="92">
        <v>3</v>
      </c>
      <c r="D82" s="92">
        <v>4.2</v>
      </c>
      <c r="E82" s="92">
        <v>1.5</v>
      </c>
      <c r="F82" s="92" t="s">
        <v>26</v>
      </c>
      <c r="G82" s="92" t="str">
        <f>IF([1]!DataIris[[#This Row],[Largo de sépalo]]&lt;=5.5,"CORTO",IF([1]!DataIris[[#This Row],[Largo de sépalo]]&lt;=6.7,"MEDIANO","LARGO"))</f>
        <v>MEDIANO</v>
      </c>
      <c r="H82" s="92" t="str">
        <f>IF([1]!DataIris[[#This Row],[Ancho de sépalo]]&lt;=3.2,"ESTRECHO","ANCHO")</f>
        <v>ESTRECHO</v>
      </c>
      <c r="I82" s="92" t="str">
        <f>IF([1]!DataIris[[#This Row],[Largo de pétalo]]&lt;=3,"CORTO",IF([1]!DataIris[[#This Row],[Largo de pétalo]]&lt;=5,"MEDIANO","LARGO"))</f>
        <v>MEDIANO</v>
      </c>
      <c r="J82" s="92" t="str">
        <f>IF([1]!DataIris[[#This Row],[Ancho de pétalo]]&lt;=1.4,"ESTRECHO","ANCHO")</f>
        <v>ANCHO</v>
      </c>
      <c r="K82" s="92" t="s">
        <v>27</v>
      </c>
    </row>
    <row r="83" spans="2:11">
      <c r="B83" s="92">
        <v>5.9</v>
      </c>
      <c r="C83" s="92">
        <v>3.2</v>
      </c>
      <c r="D83" s="92">
        <v>4.8</v>
      </c>
      <c r="E83" s="92">
        <v>1.8</v>
      </c>
      <c r="F83" s="92" t="s">
        <v>26</v>
      </c>
      <c r="G83" s="92" t="str">
        <f>IF([1]!DataIris[[#This Row],[Largo de sépalo]]&lt;=5.5,"CORTO",IF([1]!DataIris[[#This Row],[Largo de sépalo]]&lt;=6.7,"MEDIANO","LARGO"))</f>
        <v>MEDIANO</v>
      </c>
      <c r="H83" s="92" t="str">
        <f>IF([1]!DataIris[[#This Row],[Ancho de sépalo]]&lt;=3.2,"ESTRECHO","ANCHO")</f>
        <v>ESTRECHO</v>
      </c>
      <c r="I83" s="92" t="str">
        <f>IF([1]!DataIris[[#This Row],[Largo de pétalo]]&lt;=3,"CORTO",IF([1]!DataIris[[#This Row],[Largo de pétalo]]&lt;=5,"MEDIANO","LARGO"))</f>
        <v>MEDIANO</v>
      </c>
      <c r="J83" s="92" t="str">
        <f>IF([1]!DataIris[[#This Row],[Ancho de pétalo]]&lt;=1.4,"ESTRECHO","ANCHO")</f>
        <v>ANCHO</v>
      </c>
      <c r="K83" s="92" t="s">
        <v>26</v>
      </c>
    </row>
    <row r="84" spans="2:11">
      <c r="B84" s="92">
        <v>5.9</v>
      </c>
      <c r="C84" s="92">
        <v>3</v>
      </c>
      <c r="D84" s="92">
        <v>5.0999999999999996</v>
      </c>
      <c r="E84" s="92">
        <v>1.8</v>
      </c>
      <c r="F84" s="92" t="s">
        <v>27</v>
      </c>
      <c r="G84" s="92" t="str">
        <f>IF([1]!DataIris[[#This Row],[Largo de sépalo]]&lt;=5.5,"CORTO",IF([1]!DataIris[[#This Row],[Largo de sépalo]]&lt;=6.7,"MEDIANO","LARGO"))</f>
        <v>MEDIANO</v>
      </c>
      <c r="H84" s="92" t="str">
        <f>IF([1]!DataIris[[#This Row],[Ancho de sépalo]]&lt;=3.2,"ESTRECHO","ANCHO")</f>
        <v>ESTRECHO</v>
      </c>
      <c r="I84" s="92" t="str">
        <f>IF([1]!DataIris[[#This Row],[Largo de pétalo]]&lt;=3,"CORTO",IF([1]!DataIris[[#This Row],[Largo de pétalo]]&lt;=5,"MEDIANO","LARGO"))</f>
        <v>LARGO</v>
      </c>
      <c r="J84" s="92" t="str">
        <f>IF([1]!DataIris[[#This Row],[Ancho de pétalo]]&lt;=1.4,"ESTRECHO","ANCHO")</f>
        <v>ANCHO</v>
      </c>
      <c r="K84" s="92" t="s">
        <v>27</v>
      </c>
    </row>
    <row r="85" spans="2:11">
      <c r="B85" s="92">
        <v>6</v>
      </c>
      <c r="C85" s="92">
        <v>2.2000000000000002</v>
      </c>
      <c r="D85" s="92">
        <v>4</v>
      </c>
      <c r="E85" s="92">
        <v>1</v>
      </c>
      <c r="F85" s="92" t="s">
        <v>26</v>
      </c>
      <c r="G85" s="92" t="str">
        <f>IF([1]!DataIris[[#This Row],[Largo de sépalo]]&lt;=5.5,"CORTO",IF([1]!DataIris[[#This Row],[Largo de sépalo]]&lt;=6.7,"MEDIANO","LARGO"))</f>
        <v>MEDIANO</v>
      </c>
      <c r="H85" s="92" t="str">
        <f>IF([1]!DataIris[[#This Row],[Ancho de sépalo]]&lt;=3.2,"ESTRECHO","ANCHO")</f>
        <v>ESTRECHO</v>
      </c>
      <c r="I85" s="92" t="str">
        <f>IF([1]!DataIris[[#This Row],[Largo de pétalo]]&lt;=3,"CORTO",IF([1]!DataIris[[#This Row],[Largo de pétalo]]&lt;=5,"MEDIANO","LARGO"))</f>
        <v>MEDIANO</v>
      </c>
      <c r="J85" s="92" t="str">
        <f>IF([1]!DataIris[[#This Row],[Ancho de pétalo]]&lt;=1.4,"ESTRECHO","ANCHO")</f>
        <v>ESTRECHO</v>
      </c>
      <c r="K85" s="92" t="s">
        <v>27</v>
      </c>
    </row>
    <row r="86" spans="2:11">
      <c r="B86" s="92">
        <v>6</v>
      </c>
      <c r="C86" s="92">
        <v>2.9</v>
      </c>
      <c r="D86" s="92">
        <v>4.5</v>
      </c>
      <c r="E86" s="92">
        <v>1.5</v>
      </c>
      <c r="F86" s="92" t="s">
        <v>26</v>
      </c>
      <c r="G86" s="92" t="str">
        <f>IF([1]!DataIris[[#This Row],[Largo de sépalo]]&lt;=5.5,"CORTO",IF([1]!DataIris[[#This Row],[Largo de sépalo]]&lt;=6.7,"MEDIANO","LARGO"))</f>
        <v>MEDIANO</v>
      </c>
      <c r="H86" s="92" t="str">
        <f>IF([1]!DataIris[[#This Row],[Ancho de sépalo]]&lt;=3.2,"ESTRECHO","ANCHO")</f>
        <v>ESTRECHO</v>
      </c>
      <c r="I86" s="92" t="str">
        <f>IF([1]!DataIris[[#This Row],[Largo de pétalo]]&lt;=3,"CORTO",IF([1]!DataIris[[#This Row],[Largo de pétalo]]&lt;=5,"MEDIANO","LARGO"))</f>
        <v>MEDIANO</v>
      </c>
      <c r="J86" s="92" t="str">
        <f>IF([1]!DataIris[[#This Row],[Ancho de pétalo]]&lt;=1.4,"ESTRECHO","ANCHO")</f>
        <v>ANCHO</v>
      </c>
      <c r="K86" s="92" t="s">
        <v>27</v>
      </c>
    </row>
    <row r="87" spans="2:11">
      <c r="B87" s="92">
        <v>6</v>
      </c>
      <c r="C87" s="92">
        <v>2.2000000000000002</v>
      </c>
      <c r="D87" s="92">
        <v>5</v>
      </c>
      <c r="E87" s="92">
        <v>1.5</v>
      </c>
      <c r="F87" s="92" t="s">
        <v>27</v>
      </c>
      <c r="G87" s="92" t="str">
        <f>IF([1]!DataIris[[#This Row],[Largo de sépalo]]&lt;=5.5,"CORTO",IF([1]!DataIris[[#This Row],[Largo de sépalo]]&lt;=6.7,"MEDIANO","LARGO"))</f>
        <v>MEDIANO</v>
      </c>
      <c r="H87" s="92" t="str">
        <f>IF([1]!DataIris[[#This Row],[Ancho de sépalo]]&lt;=3.2,"ESTRECHO","ANCHO")</f>
        <v>ESTRECHO</v>
      </c>
      <c r="I87" s="92" t="str">
        <f>IF([1]!DataIris[[#This Row],[Largo de pétalo]]&lt;=3,"CORTO",IF([1]!DataIris[[#This Row],[Largo de pétalo]]&lt;=5,"MEDIANO","LARGO"))</f>
        <v>MEDIANO</v>
      </c>
      <c r="J87" s="92" t="str">
        <f>IF([1]!DataIris[[#This Row],[Ancho de pétalo]]&lt;=1.4,"ESTRECHO","ANCHO")</f>
        <v>ANCHO</v>
      </c>
      <c r="K87" s="92" t="s">
        <v>27</v>
      </c>
    </row>
    <row r="88" spans="2:11">
      <c r="B88" s="92">
        <v>6</v>
      </c>
      <c r="C88" s="92">
        <v>3.4</v>
      </c>
      <c r="D88" s="92">
        <v>4.5</v>
      </c>
      <c r="E88" s="92">
        <v>1.6</v>
      </c>
      <c r="F88" s="92" t="s">
        <v>26</v>
      </c>
      <c r="G88" s="92" t="str">
        <f>IF([1]!DataIris[[#This Row],[Largo de sépalo]]&lt;=5.5,"CORTO",IF([1]!DataIris[[#This Row],[Largo de sépalo]]&lt;=6.7,"MEDIANO","LARGO"))</f>
        <v>MEDIANO</v>
      </c>
      <c r="H88" s="92" t="str">
        <f>IF([1]!DataIris[[#This Row],[Ancho de sépalo]]&lt;=3.2,"ESTRECHO","ANCHO")</f>
        <v>ANCHO</v>
      </c>
      <c r="I88" s="92" t="str">
        <f>IF([1]!DataIris[[#This Row],[Largo de pétalo]]&lt;=3,"CORTO",IF([1]!DataIris[[#This Row],[Largo de pétalo]]&lt;=5,"MEDIANO","LARGO"))</f>
        <v>MEDIANO</v>
      </c>
      <c r="J88" s="92" t="str">
        <f>IF([1]!DataIris[[#This Row],[Ancho de pétalo]]&lt;=1.4,"ESTRECHO","ANCHO")</f>
        <v>ANCHO</v>
      </c>
      <c r="K88" s="92" t="s">
        <v>27</v>
      </c>
    </row>
    <row r="89" spans="2:11">
      <c r="B89" s="92">
        <v>6</v>
      </c>
      <c r="C89" s="92">
        <v>2.7</v>
      </c>
      <c r="D89" s="92">
        <v>5.0999999999999996</v>
      </c>
      <c r="E89" s="92">
        <v>1.6</v>
      </c>
      <c r="F89" s="92" t="s">
        <v>26</v>
      </c>
      <c r="G89" s="92" t="str">
        <f>IF([1]!DataIris[[#This Row],[Largo de sépalo]]&lt;=5.5,"CORTO",IF([1]!DataIris[[#This Row],[Largo de sépalo]]&lt;=6.7,"MEDIANO","LARGO"))</f>
        <v>MEDIANO</v>
      </c>
      <c r="H89" s="92" t="str">
        <f>IF([1]!DataIris[[#This Row],[Ancho de sépalo]]&lt;=3.2,"ESTRECHO","ANCHO")</f>
        <v>ESTRECHO</v>
      </c>
      <c r="I89" s="92" t="str">
        <f>IF([1]!DataIris[[#This Row],[Largo de pétalo]]&lt;=3,"CORTO",IF([1]!DataIris[[#This Row],[Largo de pétalo]]&lt;=5,"MEDIANO","LARGO"))</f>
        <v>LARGO</v>
      </c>
      <c r="J89" s="92" t="str">
        <f>IF([1]!DataIris[[#This Row],[Ancho de pétalo]]&lt;=1.4,"ESTRECHO","ANCHO")</f>
        <v>ANCHO</v>
      </c>
      <c r="K89" s="92" t="s">
        <v>27</v>
      </c>
    </row>
    <row r="90" spans="2:11">
      <c r="B90" s="92">
        <v>6</v>
      </c>
      <c r="C90" s="92">
        <v>3</v>
      </c>
      <c r="D90" s="92">
        <v>4.8</v>
      </c>
      <c r="E90" s="92">
        <v>1.8</v>
      </c>
      <c r="F90" s="92" t="s">
        <v>27</v>
      </c>
      <c r="G90" s="92" t="str">
        <f>IF([1]!DataIris[[#This Row],[Largo de sépalo]]&lt;=5.5,"CORTO",IF([1]!DataIris[[#This Row],[Largo de sépalo]]&lt;=6.7,"MEDIANO","LARGO"))</f>
        <v>MEDIANO</v>
      </c>
      <c r="H90" s="92" t="str">
        <f>IF([1]!DataIris[[#This Row],[Ancho de sépalo]]&lt;=3.2,"ESTRECHO","ANCHO")</f>
        <v>ESTRECHO</v>
      </c>
      <c r="I90" s="92" t="str">
        <f>IF([1]!DataIris[[#This Row],[Largo de pétalo]]&lt;=3,"CORTO",IF([1]!DataIris[[#This Row],[Largo de pétalo]]&lt;=5,"MEDIANO","LARGO"))</f>
        <v>MEDIANO</v>
      </c>
      <c r="J90" s="92" t="str">
        <f>IF([1]!DataIris[[#This Row],[Ancho de pétalo]]&lt;=1.4,"ESTRECHO","ANCHO")</f>
        <v>ANCHO</v>
      </c>
      <c r="K90" s="92" t="s">
        <v>27</v>
      </c>
    </row>
    <row r="91" spans="2:11">
      <c r="B91" s="92">
        <v>6.1</v>
      </c>
      <c r="C91" s="92">
        <v>2.8</v>
      </c>
      <c r="D91" s="92">
        <v>4.7</v>
      </c>
      <c r="E91" s="92">
        <v>1.2</v>
      </c>
      <c r="F91" s="92" t="s">
        <v>26</v>
      </c>
      <c r="G91" s="92" t="str">
        <f>IF([1]!DataIris[[#This Row],[Largo de sépalo]]&lt;=5.5,"CORTO",IF([1]!DataIris[[#This Row],[Largo de sépalo]]&lt;=6.7,"MEDIANO","LARGO"))</f>
        <v>MEDIANO</v>
      </c>
      <c r="H91" s="92" t="str">
        <f>IF([1]!DataIris[[#This Row],[Ancho de sépalo]]&lt;=3.2,"ESTRECHO","ANCHO")</f>
        <v>ESTRECHO</v>
      </c>
      <c r="I91" s="92" t="str">
        <f>IF([1]!DataIris[[#This Row],[Largo de pétalo]]&lt;=3,"CORTO",IF([1]!DataIris[[#This Row],[Largo de pétalo]]&lt;=5,"MEDIANO","LARGO"))</f>
        <v>MEDIANO</v>
      </c>
      <c r="J91" s="92" t="str">
        <f>IF([1]!DataIris[[#This Row],[Ancho de pétalo]]&lt;=1.4,"ESTRECHO","ANCHO")</f>
        <v>ESTRECHO</v>
      </c>
      <c r="K91" s="92" t="s">
        <v>27</v>
      </c>
    </row>
    <row r="92" spans="2:11">
      <c r="B92" s="92">
        <v>6.1</v>
      </c>
      <c r="C92" s="92">
        <v>2.8</v>
      </c>
      <c r="D92" s="92">
        <v>4</v>
      </c>
      <c r="E92" s="92">
        <v>1.3</v>
      </c>
      <c r="F92" s="92" t="s">
        <v>26</v>
      </c>
      <c r="G92" s="92" t="str">
        <f>IF([1]!DataIris[[#This Row],[Largo de sépalo]]&lt;=5.5,"CORTO",IF([1]!DataIris[[#This Row],[Largo de sépalo]]&lt;=6.7,"MEDIANO","LARGO"))</f>
        <v>MEDIANO</v>
      </c>
      <c r="H92" s="92" t="str">
        <f>IF([1]!DataIris[[#This Row],[Ancho de sépalo]]&lt;=3.2,"ESTRECHO","ANCHO")</f>
        <v>ESTRECHO</v>
      </c>
      <c r="I92" s="92" t="str">
        <f>IF([1]!DataIris[[#This Row],[Largo de pétalo]]&lt;=3,"CORTO",IF([1]!DataIris[[#This Row],[Largo de pétalo]]&lt;=5,"MEDIANO","LARGO"))</f>
        <v>MEDIANO</v>
      </c>
      <c r="J92" s="92" t="str">
        <f>IF([1]!DataIris[[#This Row],[Ancho de pétalo]]&lt;=1.4,"ESTRECHO","ANCHO")</f>
        <v>ESTRECHO</v>
      </c>
      <c r="K92" s="92" t="s">
        <v>27</v>
      </c>
    </row>
    <row r="93" spans="2:11">
      <c r="B93" s="92">
        <v>6.1</v>
      </c>
      <c r="C93" s="92">
        <v>3</v>
      </c>
      <c r="D93" s="92">
        <v>4.5999999999999996</v>
      </c>
      <c r="E93" s="92">
        <v>1.4</v>
      </c>
      <c r="F93" s="92" t="s">
        <v>26</v>
      </c>
      <c r="G93" s="92" t="str">
        <f>IF([1]!DataIris[[#This Row],[Largo de sépalo]]&lt;=5.5,"CORTO",IF([1]!DataIris[[#This Row],[Largo de sépalo]]&lt;=6.7,"MEDIANO","LARGO"))</f>
        <v>MEDIANO</v>
      </c>
      <c r="H93" s="92" t="str">
        <f>IF([1]!DataIris[[#This Row],[Ancho de sépalo]]&lt;=3.2,"ESTRECHO","ANCHO")</f>
        <v>ESTRECHO</v>
      </c>
      <c r="I93" s="92" t="str">
        <f>IF([1]!DataIris[[#This Row],[Largo de pétalo]]&lt;=3,"CORTO",IF([1]!DataIris[[#This Row],[Largo de pétalo]]&lt;=5,"MEDIANO","LARGO"))</f>
        <v>MEDIANO</v>
      </c>
      <c r="J93" s="92" t="str">
        <f>IF([1]!DataIris[[#This Row],[Ancho de pétalo]]&lt;=1.4,"ESTRECHO","ANCHO")</f>
        <v>ESTRECHO</v>
      </c>
      <c r="K93" s="92" t="s">
        <v>25</v>
      </c>
    </row>
    <row r="94" spans="2:11">
      <c r="B94" s="92">
        <v>6.1</v>
      </c>
      <c r="C94" s="92">
        <v>2.9</v>
      </c>
      <c r="D94" s="92">
        <v>4.7</v>
      </c>
      <c r="E94" s="92">
        <v>1.4</v>
      </c>
      <c r="F94" s="92" t="s">
        <v>26</v>
      </c>
      <c r="G94" s="92" t="str">
        <f>IF([1]!DataIris[[#This Row],[Largo de sépalo]]&lt;=5.5,"CORTO",IF([1]!DataIris[[#This Row],[Largo de sépalo]]&lt;=6.7,"MEDIANO","LARGO"))</f>
        <v>MEDIANO</v>
      </c>
      <c r="H94" s="92" t="str">
        <f>IF([1]!DataIris[[#This Row],[Ancho de sépalo]]&lt;=3.2,"ESTRECHO","ANCHO")</f>
        <v>ESTRECHO</v>
      </c>
      <c r="I94" s="92" t="str">
        <f>IF([1]!DataIris[[#This Row],[Largo de pétalo]]&lt;=3,"CORTO",IF([1]!DataIris[[#This Row],[Largo de pétalo]]&lt;=5,"MEDIANO","LARGO"))</f>
        <v>MEDIANO</v>
      </c>
      <c r="J94" s="92" t="str">
        <f>IF([1]!DataIris[[#This Row],[Ancho de pétalo]]&lt;=1.4,"ESTRECHO","ANCHO")</f>
        <v>ESTRECHO</v>
      </c>
      <c r="K94" s="92" t="s">
        <v>25</v>
      </c>
    </row>
    <row r="95" spans="2:11">
      <c r="B95" s="92">
        <v>6.1</v>
      </c>
      <c r="C95" s="92">
        <v>2.6</v>
      </c>
      <c r="D95" s="92">
        <v>5.6</v>
      </c>
      <c r="E95" s="92">
        <v>1.4</v>
      </c>
      <c r="F95" s="92" t="s">
        <v>27</v>
      </c>
      <c r="G95" s="92" t="str">
        <f>IF([1]!DataIris[[#This Row],[Largo de sépalo]]&lt;=5.5,"CORTO",IF([1]!DataIris[[#This Row],[Largo de sépalo]]&lt;=6.7,"MEDIANO","LARGO"))</f>
        <v>MEDIANO</v>
      </c>
      <c r="H95" s="92" t="str">
        <f>IF([1]!DataIris[[#This Row],[Ancho de sépalo]]&lt;=3.2,"ESTRECHO","ANCHO")</f>
        <v>ESTRECHO</v>
      </c>
      <c r="I95" s="92" t="str">
        <f>IF([1]!DataIris[[#This Row],[Largo de pétalo]]&lt;=3,"CORTO",IF([1]!DataIris[[#This Row],[Largo de pétalo]]&lt;=5,"MEDIANO","LARGO"))</f>
        <v>LARGO</v>
      </c>
      <c r="J95" s="92" t="str">
        <f>IF([1]!DataIris[[#This Row],[Ancho de pétalo]]&lt;=1.4,"ESTRECHO","ANCHO")</f>
        <v>ESTRECHO</v>
      </c>
      <c r="K95" s="92" t="s">
        <v>25</v>
      </c>
    </row>
    <row r="96" spans="2:11">
      <c r="B96" s="92">
        <v>6.1</v>
      </c>
      <c r="C96" s="92">
        <v>3</v>
      </c>
      <c r="D96" s="92">
        <v>4.9000000000000004</v>
      </c>
      <c r="E96" s="92">
        <v>1.8</v>
      </c>
      <c r="F96" s="92" t="s">
        <v>27</v>
      </c>
      <c r="G96" s="92" t="str">
        <f>IF([1]!DataIris[[#This Row],[Largo de sépalo]]&lt;=5.5,"CORTO",IF([1]!DataIris[[#This Row],[Largo de sépalo]]&lt;=6.7,"MEDIANO","LARGO"))</f>
        <v>MEDIANO</v>
      </c>
      <c r="H96" s="92" t="str">
        <f>IF([1]!DataIris[[#This Row],[Ancho de sépalo]]&lt;=3.2,"ESTRECHO","ANCHO")</f>
        <v>ESTRECHO</v>
      </c>
      <c r="I96" s="92" t="str">
        <f>IF([1]!DataIris[[#This Row],[Largo de pétalo]]&lt;=3,"CORTO",IF([1]!DataIris[[#This Row],[Largo de pétalo]]&lt;=5,"MEDIANO","LARGO"))</f>
        <v>MEDIANO</v>
      </c>
      <c r="J96" s="92" t="str">
        <f>IF([1]!DataIris[[#This Row],[Ancho de pétalo]]&lt;=1.4,"ESTRECHO","ANCHO")</f>
        <v>ANCHO</v>
      </c>
      <c r="K96" s="92" t="s">
        <v>25</v>
      </c>
    </row>
    <row r="97" spans="2:11">
      <c r="B97" s="92">
        <v>6.2</v>
      </c>
      <c r="C97" s="92">
        <v>2.9</v>
      </c>
      <c r="D97" s="92">
        <v>4.3</v>
      </c>
      <c r="E97" s="92">
        <v>1.3</v>
      </c>
      <c r="F97" s="92" t="s">
        <v>26</v>
      </c>
      <c r="G97" s="92" t="str">
        <f>IF([1]!DataIris[[#This Row],[Largo de sépalo]]&lt;=5.5,"CORTO",IF([1]!DataIris[[#This Row],[Largo de sépalo]]&lt;=6.7,"MEDIANO","LARGO"))</f>
        <v>MEDIANO</v>
      </c>
      <c r="H97" s="92" t="str">
        <f>IF([1]!DataIris[[#This Row],[Ancho de sépalo]]&lt;=3.2,"ESTRECHO","ANCHO")</f>
        <v>ESTRECHO</v>
      </c>
      <c r="I97" s="92" t="str">
        <f>IF([1]!DataIris[[#This Row],[Largo de pétalo]]&lt;=3,"CORTO",IF([1]!DataIris[[#This Row],[Largo de pétalo]]&lt;=5,"MEDIANO","LARGO"))</f>
        <v>MEDIANO</v>
      </c>
      <c r="J97" s="92" t="str">
        <f>IF([1]!DataIris[[#This Row],[Ancho de pétalo]]&lt;=1.4,"ESTRECHO","ANCHO")</f>
        <v>ESTRECHO</v>
      </c>
      <c r="K97" s="92" t="s">
        <v>25</v>
      </c>
    </row>
    <row r="98" spans="2:11">
      <c r="B98" s="92">
        <v>6.2</v>
      </c>
      <c r="C98" s="92">
        <v>2.2000000000000002</v>
      </c>
      <c r="D98" s="92">
        <v>4.5</v>
      </c>
      <c r="E98" s="92">
        <v>1.5</v>
      </c>
      <c r="F98" s="92" t="s">
        <v>26</v>
      </c>
      <c r="G98" s="92" t="str">
        <f>IF([1]!DataIris[[#This Row],[Largo de sépalo]]&lt;=5.5,"CORTO",IF([1]!DataIris[[#This Row],[Largo de sépalo]]&lt;=6.7,"MEDIANO","LARGO"))</f>
        <v>MEDIANO</v>
      </c>
      <c r="H98" s="92" t="str">
        <f>IF([1]!DataIris[[#This Row],[Ancho de sépalo]]&lt;=3.2,"ESTRECHO","ANCHO")</f>
        <v>ESTRECHO</v>
      </c>
      <c r="I98" s="92" t="str">
        <f>IF([1]!DataIris[[#This Row],[Largo de pétalo]]&lt;=3,"CORTO",IF([1]!DataIris[[#This Row],[Largo de pétalo]]&lt;=5,"MEDIANO","LARGO"))</f>
        <v>MEDIANO</v>
      </c>
      <c r="J98" s="92" t="str">
        <f>IF([1]!DataIris[[#This Row],[Ancho de pétalo]]&lt;=1.4,"ESTRECHO","ANCHO")</f>
        <v>ANCHO</v>
      </c>
      <c r="K98" s="92" t="s">
        <v>25</v>
      </c>
    </row>
    <row r="99" spans="2:11">
      <c r="B99" s="92">
        <v>6.2</v>
      </c>
      <c r="C99" s="92">
        <v>2.8</v>
      </c>
      <c r="D99" s="92">
        <v>4.8</v>
      </c>
      <c r="E99" s="92">
        <v>1.8</v>
      </c>
      <c r="F99" s="92" t="s">
        <v>27</v>
      </c>
      <c r="G99" s="92" t="str">
        <f>IF([1]!DataIris[[#This Row],[Largo de sépalo]]&lt;=5.5,"CORTO",IF([1]!DataIris[[#This Row],[Largo de sépalo]]&lt;=6.7,"MEDIANO","LARGO"))</f>
        <v>MEDIANO</v>
      </c>
      <c r="H99" s="92" t="str">
        <f>IF([1]!DataIris[[#This Row],[Ancho de sépalo]]&lt;=3.2,"ESTRECHO","ANCHO")</f>
        <v>ESTRECHO</v>
      </c>
      <c r="I99" s="92" t="str">
        <f>IF([1]!DataIris[[#This Row],[Largo de pétalo]]&lt;=3,"CORTO",IF([1]!DataIris[[#This Row],[Largo de pétalo]]&lt;=5,"MEDIANO","LARGO"))</f>
        <v>MEDIANO</v>
      </c>
      <c r="J99" s="92" t="str">
        <f>IF([1]!DataIris[[#This Row],[Ancho de pétalo]]&lt;=1.4,"ESTRECHO","ANCHO")</f>
        <v>ANCHO</v>
      </c>
      <c r="K99" s="92" t="s">
        <v>25</v>
      </c>
    </row>
    <row r="100" spans="2:11">
      <c r="B100" s="92">
        <v>6.2</v>
      </c>
      <c r="C100" s="92">
        <v>3.4</v>
      </c>
      <c r="D100" s="92">
        <v>5.4</v>
      </c>
      <c r="E100" s="92">
        <v>2.2999999999999998</v>
      </c>
      <c r="F100" s="92" t="s">
        <v>27</v>
      </c>
      <c r="G100" s="92" t="str">
        <f>IF([1]!DataIris[[#This Row],[Largo de sépalo]]&lt;=5.5,"CORTO",IF([1]!DataIris[[#This Row],[Largo de sépalo]]&lt;=6.7,"MEDIANO","LARGO"))</f>
        <v>MEDIANO</v>
      </c>
      <c r="H100" s="92" t="str">
        <f>IF([1]!DataIris[[#This Row],[Ancho de sépalo]]&lt;=3.2,"ESTRECHO","ANCHO")</f>
        <v>ANCHO</v>
      </c>
      <c r="I100" s="92" t="str">
        <f>IF([1]!DataIris[[#This Row],[Largo de pétalo]]&lt;=3,"CORTO",IF([1]!DataIris[[#This Row],[Largo de pétalo]]&lt;=5,"MEDIANO","LARGO"))</f>
        <v>LARGO</v>
      </c>
      <c r="J100" s="92" t="str">
        <f>IF([1]!DataIris[[#This Row],[Ancho de pétalo]]&lt;=1.4,"ESTRECHO","ANCHO")</f>
        <v>ANCHO</v>
      </c>
      <c r="K100" s="92" t="s">
        <v>25</v>
      </c>
    </row>
    <row r="101" spans="2:11">
      <c r="B101" s="92">
        <v>6.3</v>
      </c>
      <c r="C101" s="92">
        <v>2.2999999999999998</v>
      </c>
      <c r="D101" s="92">
        <v>4.4000000000000004</v>
      </c>
      <c r="E101" s="92">
        <v>1.3</v>
      </c>
      <c r="F101" s="92" t="s">
        <v>26</v>
      </c>
      <c r="G101" s="92" t="str">
        <f>IF([1]!DataIris[[#This Row],[Largo de sépalo]]&lt;=5.5,"CORTO",IF([1]!DataIris[[#This Row],[Largo de sépalo]]&lt;=6.7,"MEDIANO","LARGO"))</f>
        <v>MEDIANO</v>
      </c>
      <c r="H101" s="92" t="str">
        <f>IF([1]!DataIris[[#This Row],[Ancho de sépalo]]&lt;=3.2,"ESTRECHO","ANCHO")</f>
        <v>ESTRECHO</v>
      </c>
      <c r="I101" s="92" t="str">
        <f>IF([1]!DataIris[[#This Row],[Largo de pétalo]]&lt;=3,"CORTO",IF([1]!DataIris[[#This Row],[Largo de pétalo]]&lt;=5,"MEDIANO","LARGO"))</f>
        <v>MEDIANO</v>
      </c>
      <c r="J101" s="92" t="str">
        <f>IF([1]!DataIris[[#This Row],[Ancho de pétalo]]&lt;=1.4,"ESTRECHO","ANCHO")</f>
        <v>ESTRECHO</v>
      </c>
      <c r="K101" s="92" t="s">
        <v>25</v>
      </c>
    </row>
    <row r="102" spans="2:11">
      <c r="B102" s="92">
        <v>6.3</v>
      </c>
      <c r="C102" s="92">
        <v>2.5</v>
      </c>
      <c r="D102" s="92">
        <v>4.9000000000000004</v>
      </c>
      <c r="E102" s="92">
        <v>1.5</v>
      </c>
      <c r="F102" s="92" t="s">
        <v>26</v>
      </c>
      <c r="G102" s="92" t="str">
        <f>IF([1]!DataIris[[#This Row],[Largo de sépalo]]&lt;=5.5,"CORTO",IF([1]!DataIris[[#This Row],[Largo de sépalo]]&lt;=6.7,"MEDIANO","LARGO"))</f>
        <v>MEDIANO</v>
      </c>
      <c r="H102" s="92" t="str">
        <f>IF([1]!DataIris[[#This Row],[Ancho de sépalo]]&lt;=3.2,"ESTRECHO","ANCHO")</f>
        <v>ESTRECHO</v>
      </c>
      <c r="I102" s="92" t="str">
        <f>IF([1]!DataIris[[#This Row],[Largo de pétalo]]&lt;=3,"CORTO",IF([1]!DataIris[[#This Row],[Largo de pétalo]]&lt;=5,"MEDIANO","LARGO"))</f>
        <v>MEDIANO</v>
      </c>
      <c r="J102" s="92" t="str">
        <f>IF([1]!DataIris[[#This Row],[Ancho de pétalo]]&lt;=1.4,"ESTRECHO","ANCHO")</f>
        <v>ANCHO</v>
      </c>
      <c r="K102" s="92" t="s">
        <v>25</v>
      </c>
    </row>
    <row r="103" spans="2:11">
      <c r="B103" s="92">
        <v>6.3</v>
      </c>
      <c r="C103" s="92">
        <v>2.8</v>
      </c>
      <c r="D103" s="92">
        <v>5.0999999999999996</v>
      </c>
      <c r="E103" s="92">
        <v>1.5</v>
      </c>
      <c r="F103" s="92" t="s">
        <v>27</v>
      </c>
      <c r="G103" s="92" t="str">
        <f>IF([1]!DataIris[[#This Row],[Largo de sépalo]]&lt;=5.5,"CORTO",IF([1]!DataIris[[#This Row],[Largo de sépalo]]&lt;=6.7,"MEDIANO","LARGO"))</f>
        <v>MEDIANO</v>
      </c>
      <c r="H103" s="92" t="str">
        <f>IF([1]!DataIris[[#This Row],[Ancho de sépalo]]&lt;=3.2,"ESTRECHO","ANCHO")</f>
        <v>ESTRECHO</v>
      </c>
      <c r="I103" s="92" t="str">
        <f>IF([1]!DataIris[[#This Row],[Largo de pétalo]]&lt;=3,"CORTO",IF([1]!DataIris[[#This Row],[Largo de pétalo]]&lt;=5,"MEDIANO","LARGO"))</f>
        <v>LARGO</v>
      </c>
      <c r="J103" s="92" t="str">
        <f>IF([1]!DataIris[[#This Row],[Ancho de pétalo]]&lt;=1.4,"ESTRECHO","ANCHO")</f>
        <v>ANCHO</v>
      </c>
      <c r="K103" s="92" t="s">
        <v>25</v>
      </c>
    </row>
    <row r="104" spans="2:11">
      <c r="B104" s="92">
        <v>6.3</v>
      </c>
      <c r="C104" s="92">
        <v>3.3</v>
      </c>
      <c r="D104" s="92">
        <v>4.7</v>
      </c>
      <c r="E104" s="92">
        <v>1.6</v>
      </c>
      <c r="F104" s="92" t="s">
        <v>26</v>
      </c>
      <c r="G104" s="92" t="str">
        <f>IF([1]!DataIris[[#This Row],[Largo de sépalo]]&lt;=5.5,"CORTO",IF([1]!DataIris[[#This Row],[Largo de sépalo]]&lt;=6.7,"MEDIANO","LARGO"))</f>
        <v>MEDIANO</v>
      </c>
      <c r="H104" s="92" t="str">
        <f>IF([1]!DataIris[[#This Row],[Ancho de sépalo]]&lt;=3.2,"ESTRECHO","ANCHO")</f>
        <v>ANCHO</v>
      </c>
      <c r="I104" s="92" t="str">
        <f>IF([1]!DataIris[[#This Row],[Largo de pétalo]]&lt;=3,"CORTO",IF([1]!DataIris[[#This Row],[Largo de pétalo]]&lt;=5,"MEDIANO","LARGO"))</f>
        <v>MEDIANO</v>
      </c>
      <c r="J104" s="92" t="str">
        <f>IF([1]!DataIris[[#This Row],[Ancho de pétalo]]&lt;=1.4,"ESTRECHO","ANCHO")</f>
        <v>ANCHO</v>
      </c>
      <c r="K104" s="92" t="s">
        <v>25</v>
      </c>
    </row>
    <row r="105" spans="2:11">
      <c r="B105" s="92">
        <v>6.3</v>
      </c>
      <c r="C105" s="92">
        <v>2.7</v>
      </c>
      <c r="D105" s="92">
        <v>4.9000000000000004</v>
      </c>
      <c r="E105" s="92">
        <v>1.8</v>
      </c>
      <c r="F105" s="92" t="s">
        <v>27</v>
      </c>
      <c r="G105" s="92" t="str">
        <f>IF([1]!DataIris[[#This Row],[Largo de sépalo]]&lt;=5.5,"CORTO",IF([1]!DataIris[[#This Row],[Largo de sépalo]]&lt;=6.7,"MEDIANO","LARGO"))</f>
        <v>MEDIANO</v>
      </c>
      <c r="H105" s="92" t="str">
        <f>IF([1]!DataIris[[#This Row],[Ancho de sépalo]]&lt;=3.2,"ESTRECHO","ANCHO")</f>
        <v>ESTRECHO</v>
      </c>
      <c r="I105" s="92" t="str">
        <f>IF([1]!DataIris[[#This Row],[Largo de pétalo]]&lt;=3,"CORTO",IF([1]!DataIris[[#This Row],[Largo de pétalo]]&lt;=5,"MEDIANO","LARGO"))</f>
        <v>MEDIANO</v>
      </c>
      <c r="J105" s="92" t="str">
        <f>IF([1]!DataIris[[#This Row],[Ancho de pétalo]]&lt;=1.4,"ESTRECHO","ANCHO")</f>
        <v>ANCHO</v>
      </c>
      <c r="K105" s="92" t="s">
        <v>25</v>
      </c>
    </row>
    <row r="106" spans="2:11">
      <c r="B106" s="92">
        <v>6.3</v>
      </c>
      <c r="C106" s="92">
        <v>2.9</v>
      </c>
      <c r="D106" s="92">
        <v>5.6</v>
      </c>
      <c r="E106" s="92">
        <v>1.8</v>
      </c>
      <c r="F106" s="92" t="s">
        <v>27</v>
      </c>
      <c r="G106" s="92" t="str">
        <f>IF([1]!DataIris[[#This Row],[Largo de sépalo]]&lt;=5.5,"CORTO",IF([1]!DataIris[[#This Row],[Largo de sépalo]]&lt;=6.7,"MEDIANO","LARGO"))</f>
        <v>MEDIANO</v>
      </c>
      <c r="H106" s="92" t="str">
        <f>IF([1]!DataIris[[#This Row],[Ancho de sépalo]]&lt;=3.2,"ESTRECHO","ANCHO")</f>
        <v>ESTRECHO</v>
      </c>
      <c r="I106" s="92" t="str">
        <f>IF([1]!DataIris[[#This Row],[Largo de pétalo]]&lt;=3,"CORTO",IF([1]!DataIris[[#This Row],[Largo de pétalo]]&lt;=5,"MEDIANO","LARGO"))</f>
        <v>LARGO</v>
      </c>
      <c r="J106" s="92" t="str">
        <f>IF([1]!DataIris[[#This Row],[Ancho de pétalo]]&lt;=1.4,"ESTRECHO","ANCHO")</f>
        <v>ANCHO</v>
      </c>
      <c r="K106" s="92" t="s">
        <v>25</v>
      </c>
    </row>
    <row r="107" spans="2:11">
      <c r="B107" s="92">
        <v>6.3</v>
      </c>
      <c r="C107" s="92">
        <v>2.5</v>
      </c>
      <c r="D107" s="92">
        <v>5</v>
      </c>
      <c r="E107" s="92">
        <v>1.9</v>
      </c>
      <c r="F107" s="92" t="s">
        <v>27</v>
      </c>
      <c r="G107" s="92" t="str">
        <f>IF([1]!DataIris[[#This Row],[Largo de sépalo]]&lt;=5.5,"CORTO",IF([1]!DataIris[[#This Row],[Largo de sépalo]]&lt;=6.7,"MEDIANO","LARGO"))</f>
        <v>MEDIANO</v>
      </c>
      <c r="H107" s="92" t="str">
        <f>IF([1]!DataIris[[#This Row],[Ancho de sépalo]]&lt;=3.2,"ESTRECHO","ANCHO")</f>
        <v>ESTRECHO</v>
      </c>
      <c r="I107" s="92" t="str">
        <f>IF([1]!DataIris[[#This Row],[Largo de pétalo]]&lt;=3,"CORTO",IF([1]!DataIris[[#This Row],[Largo de pétalo]]&lt;=5,"MEDIANO","LARGO"))</f>
        <v>MEDIANO</v>
      </c>
      <c r="J107" s="92" t="str">
        <f>IF([1]!DataIris[[#This Row],[Ancho de pétalo]]&lt;=1.4,"ESTRECHO","ANCHO")</f>
        <v>ANCHO</v>
      </c>
      <c r="K107" s="92" t="s">
        <v>25</v>
      </c>
    </row>
    <row r="108" spans="2:11">
      <c r="B108" s="92">
        <v>6.3</v>
      </c>
      <c r="C108" s="92">
        <v>3.4</v>
      </c>
      <c r="D108" s="92">
        <v>5.6</v>
      </c>
      <c r="E108" s="92">
        <v>2.4</v>
      </c>
      <c r="F108" s="92" t="s">
        <v>27</v>
      </c>
      <c r="G108" s="92" t="str">
        <f>IF([1]!DataIris[[#This Row],[Largo de sépalo]]&lt;=5.5,"CORTO",IF([1]!DataIris[[#This Row],[Largo de sépalo]]&lt;=6.7,"MEDIANO","LARGO"))</f>
        <v>MEDIANO</v>
      </c>
      <c r="H108" s="92" t="str">
        <f>IF([1]!DataIris[[#This Row],[Ancho de sépalo]]&lt;=3.2,"ESTRECHO","ANCHO")</f>
        <v>ANCHO</v>
      </c>
      <c r="I108" s="92" t="str">
        <f>IF([1]!DataIris[[#This Row],[Largo de pétalo]]&lt;=3,"CORTO",IF([1]!DataIris[[#This Row],[Largo de pétalo]]&lt;=5,"MEDIANO","LARGO"))</f>
        <v>LARGO</v>
      </c>
      <c r="J108" s="92" t="str">
        <f>IF([1]!DataIris[[#This Row],[Ancho de pétalo]]&lt;=1.4,"ESTRECHO","ANCHO")</f>
        <v>ANCHO</v>
      </c>
      <c r="K108" s="92" t="s">
        <v>25</v>
      </c>
    </row>
    <row r="109" spans="2:11">
      <c r="B109" s="92">
        <v>6.3</v>
      </c>
      <c r="C109" s="92">
        <v>3.3</v>
      </c>
      <c r="D109" s="92">
        <v>6</v>
      </c>
      <c r="E109" s="92">
        <v>2.5</v>
      </c>
      <c r="F109" s="92" t="s">
        <v>27</v>
      </c>
      <c r="G109" s="92" t="str">
        <f>IF([1]!DataIris[[#This Row],[Largo de sépalo]]&lt;=5.5,"CORTO",IF([1]!DataIris[[#This Row],[Largo de sépalo]]&lt;=6.7,"MEDIANO","LARGO"))</f>
        <v>MEDIANO</v>
      </c>
      <c r="H109" s="92" t="str">
        <f>IF([1]!DataIris[[#This Row],[Ancho de sépalo]]&lt;=3.2,"ESTRECHO","ANCHO")</f>
        <v>ANCHO</v>
      </c>
      <c r="I109" s="92" t="str">
        <f>IF([1]!DataIris[[#This Row],[Largo de pétalo]]&lt;=3,"CORTO",IF([1]!DataIris[[#This Row],[Largo de pétalo]]&lt;=5,"MEDIANO","LARGO"))</f>
        <v>LARGO</v>
      </c>
      <c r="J109" s="92" t="str">
        <f>IF([1]!DataIris[[#This Row],[Ancho de pétalo]]&lt;=1.4,"ESTRECHO","ANCHO")</f>
        <v>ANCHO</v>
      </c>
      <c r="K109" s="92" t="s">
        <v>25</v>
      </c>
    </row>
    <row r="110" spans="2:11">
      <c r="B110" s="92">
        <v>6.4</v>
      </c>
      <c r="C110" s="92">
        <v>2.9</v>
      </c>
      <c r="D110" s="92">
        <v>4.3</v>
      </c>
      <c r="E110" s="92">
        <v>1.3</v>
      </c>
      <c r="F110" s="92" t="s">
        <v>26</v>
      </c>
      <c r="G110" s="92" t="str">
        <f>IF([1]!DataIris[[#This Row],[Largo de sépalo]]&lt;=5.5,"CORTO",IF([1]!DataIris[[#This Row],[Largo de sépalo]]&lt;=6.7,"MEDIANO","LARGO"))</f>
        <v>MEDIANO</v>
      </c>
      <c r="H110" s="92" t="str">
        <f>IF([1]!DataIris[[#This Row],[Ancho de sépalo]]&lt;=3.2,"ESTRECHO","ANCHO")</f>
        <v>ESTRECHO</v>
      </c>
      <c r="I110" s="92" t="str">
        <f>IF([1]!DataIris[[#This Row],[Largo de pétalo]]&lt;=3,"CORTO",IF([1]!DataIris[[#This Row],[Largo de pétalo]]&lt;=5,"MEDIANO","LARGO"))</f>
        <v>MEDIANO</v>
      </c>
      <c r="J110" s="92" t="str">
        <f>IF([1]!DataIris[[#This Row],[Ancho de pétalo]]&lt;=1.4,"ESTRECHO","ANCHO")</f>
        <v>ESTRECHO</v>
      </c>
      <c r="K110" s="92" t="s">
        <v>26</v>
      </c>
    </row>
    <row r="111" spans="2:11">
      <c r="B111" s="92">
        <v>6.4</v>
      </c>
      <c r="C111" s="92">
        <v>3.2</v>
      </c>
      <c r="D111" s="92">
        <v>4.5</v>
      </c>
      <c r="E111" s="92">
        <v>1.5</v>
      </c>
      <c r="F111" s="92" t="s">
        <v>26</v>
      </c>
      <c r="G111" s="92" t="str">
        <f>IF([1]!DataIris[[#This Row],[Largo de sépalo]]&lt;=5.5,"CORTO",IF([1]!DataIris[[#This Row],[Largo de sépalo]]&lt;=6.7,"MEDIANO","LARGO"))</f>
        <v>MEDIANO</v>
      </c>
      <c r="H111" s="92" t="str">
        <f>IF([1]!DataIris[[#This Row],[Ancho de sépalo]]&lt;=3.2,"ESTRECHO","ANCHO")</f>
        <v>ESTRECHO</v>
      </c>
      <c r="I111" s="92" t="str">
        <f>IF([1]!DataIris[[#This Row],[Largo de pétalo]]&lt;=3,"CORTO",IF([1]!DataIris[[#This Row],[Largo de pétalo]]&lt;=5,"MEDIANO","LARGO"))</f>
        <v>MEDIANO</v>
      </c>
      <c r="J111" s="92" t="str">
        <f>IF([1]!DataIris[[#This Row],[Ancho de pétalo]]&lt;=1.4,"ESTRECHO","ANCHO")</f>
        <v>ANCHO</v>
      </c>
      <c r="K111" s="92" t="s">
        <v>27</v>
      </c>
    </row>
    <row r="112" spans="2:11">
      <c r="B112" s="92">
        <v>6.4</v>
      </c>
      <c r="C112" s="92">
        <v>3.1</v>
      </c>
      <c r="D112" s="92">
        <v>5.5</v>
      </c>
      <c r="E112" s="92">
        <v>1.8</v>
      </c>
      <c r="F112" s="92" t="s">
        <v>27</v>
      </c>
      <c r="G112" s="92" t="str">
        <f>IF([1]!DataIris[[#This Row],[Largo de sépalo]]&lt;=5.5,"CORTO",IF([1]!DataIris[[#This Row],[Largo de sépalo]]&lt;=6.7,"MEDIANO","LARGO"))</f>
        <v>MEDIANO</v>
      </c>
      <c r="H112" s="92" t="str">
        <f>IF([1]!DataIris[[#This Row],[Ancho de sépalo]]&lt;=3.2,"ESTRECHO","ANCHO")</f>
        <v>ESTRECHO</v>
      </c>
      <c r="I112" s="92" t="str">
        <f>IF([1]!DataIris[[#This Row],[Largo de pétalo]]&lt;=3,"CORTO",IF([1]!DataIris[[#This Row],[Largo de pétalo]]&lt;=5,"MEDIANO","LARGO"))</f>
        <v>LARGO</v>
      </c>
      <c r="J112" s="92" t="str">
        <f>IF([1]!DataIris[[#This Row],[Ancho de pétalo]]&lt;=1.4,"ESTRECHO","ANCHO")</f>
        <v>ANCHO</v>
      </c>
      <c r="K112" s="92" t="s">
        <v>25</v>
      </c>
    </row>
    <row r="113" spans="2:11">
      <c r="B113" s="92">
        <v>6.4</v>
      </c>
      <c r="C113" s="92">
        <v>2.7</v>
      </c>
      <c r="D113" s="92">
        <v>5.3</v>
      </c>
      <c r="E113" s="92">
        <v>1.9</v>
      </c>
      <c r="F113" s="92" t="s">
        <v>27</v>
      </c>
      <c r="G113" s="92" t="str">
        <f>IF([1]!DataIris[[#This Row],[Largo de sépalo]]&lt;=5.5,"CORTO",IF([1]!DataIris[[#This Row],[Largo de sépalo]]&lt;=6.7,"MEDIANO","LARGO"))</f>
        <v>MEDIANO</v>
      </c>
      <c r="H113" s="92" t="str">
        <f>IF([1]!DataIris[[#This Row],[Ancho de sépalo]]&lt;=3.2,"ESTRECHO","ANCHO")</f>
        <v>ESTRECHO</v>
      </c>
      <c r="I113" s="92" t="str">
        <f>IF([1]!DataIris[[#This Row],[Largo de pétalo]]&lt;=3,"CORTO",IF([1]!DataIris[[#This Row],[Largo de pétalo]]&lt;=5,"MEDIANO","LARGO"))</f>
        <v>LARGO</v>
      </c>
      <c r="J113" s="92" t="str">
        <f>IF([1]!DataIris[[#This Row],[Ancho de pétalo]]&lt;=1.4,"ESTRECHO","ANCHO")</f>
        <v>ANCHO</v>
      </c>
      <c r="K113" s="92" t="s">
        <v>25</v>
      </c>
    </row>
    <row r="114" spans="2:11">
      <c r="B114" s="92">
        <v>6.4</v>
      </c>
      <c r="C114" s="92">
        <v>2.8</v>
      </c>
      <c r="D114" s="92">
        <v>5.6</v>
      </c>
      <c r="E114" s="92">
        <v>2.1</v>
      </c>
      <c r="F114" s="92" t="s">
        <v>27</v>
      </c>
      <c r="G114" s="92" t="str">
        <f>IF([1]!DataIris[[#This Row],[Largo de sépalo]]&lt;=5.5,"CORTO",IF([1]!DataIris[[#This Row],[Largo de sépalo]]&lt;=6.7,"MEDIANO","LARGO"))</f>
        <v>MEDIANO</v>
      </c>
      <c r="H114" s="92" t="str">
        <f>IF([1]!DataIris[[#This Row],[Ancho de sépalo]]&lt;=3.2,"ESTRECHO","ANCHO")</f>
        <v>ESTRECHO</v>
      </c>
      <c r="I114" s="92" t="str">
        <f>IF([1]!DataIris[[#This Row],[Largo de pétalo]]&lt;=3,"CORTO",IF([1]!DataIris[[#This Row],[Largo de pétalo]]&lt;=5,"MEDIANO","LARGO"))</f>
        <v>LARGO</v>
      </c>
      <c r="J114" s="92" t="str">
        <f>IF([1]!DataIris[[#This Row],[Ancho de pétalo]]&lt;=1.4,"ESTRECHO","ANCHO")</f>
        <v>ANCHO</v>
      </c>
      <c r="K114" s="92" t="s">
        <v>25</v>
      </c>
    </row>
    <row r="115" spans="2:11">
      <c r="B115" s="92">
        <v>6.4</v>
      </c>
      <c r="C115" s="92">
        <v>2.8</v>
      </c>
      <c r="D115" s="92">
        <v>5.6</v>
      </c>
      <c r="E115" s="92">
        <v>2.2000000000000002</v>
      </c>
      <c r="F115" s="92" t="s">
        <v>27</v>
      </c>
      <c r="G115" s="92" t="str">
        <f>IF([1]!DataIris[[#This Row],[Largo de sépalo]]&lt;=5.5,"CORTO",IF([1]!DataIris[[#This Row],[Largo de sépalo]]&lt;=6.7,"MEDIANO","LARGO"))</f>
        <v>MEDIANO</v>
      </c>
      <c r="H115" s="92" t="str">
        <f>IF([1]!DataIris[[#This Row],[Ancho de sépalo]]&lt;=3.2,"ESTRECHO","ANCHO")</f>
        <v>ESTRECHO</v>
      </c>
      <c r="I115" s="92" t="str">
        <f>IF([1]!DataIris[[#This Row],[Largo de pétalo]]&lt;=3,"CORTO",IF([1]!DataIris[[#This Row],[Largo de pétalo]]&lt;=5,"MEDIANO","LARGO"))</f>
        <v>LARGO</v>
      </c>
      <c r="J115" s="92" t="str">
        <f>IF([1]!DataIris[[#This Row],[Ancho de pétalo]]&lt;=1.4,"ESTRECHO","ANCHO")</f>
        <v>ANCHO</v>
      </c>
      <c r="K115" s="92" t="s">
        <v>25</v>
      </c>
    </row>
    <row r="116" spans="2:11">
      <c r="B116" s="92">
        <v>6.4</v>
      </c>
      <c r="C116" s="92">
        <v>3.2</v>
      </c>
      <c r="D116" s="92">
        <v>5.3</v>
      </c>
      <c r="E116" s="92">
        <v>2.2999999999999998</v>
      </c>
      <c r="F116" s="92" t="s">
        <v>27</v>
      </c>
      <c r="G116" s="92" t="str">
        <f>IF([1]!DataIris[[#This Row],[Largo de sépalo]]&lt;=5.5,"CORTO",IF([1]!DataIris[[#This Row],[Largo de sépalo]]&lt;=6.7,"MEDIANO","LARGO"))</f>
        <v>MEDIANO</v>
      </c>
      <c r="H116" s="92" t="str">
        <f>IF([1]!DataIris[[#This Row],[Ancho de sépalo]]&lt;=3.2,"ESTRECHO","ANCHO")</f>
        <v>ESTRECHO</v>
      </c>
      <c r="I116" s="92" t="str">
        <f>IF([1]!DataIris[[#This Row],[Largo de pétalo]]&lt;=3,"CORTO",IF([1]!DataIris[[#This Row],[Largo de pétalo]]&lt;=5,"MEDIANO","LARGO"))</f>
        <v>LARGO</v>
      </c>
      <c r="J116" s="92" t="str">
        <f>IF([1]!DataIris[[#This Row],[Ancho de pétalo]]&lt;=1.4,"ESTRECHO","ANCHO")</f>
        <v>ANCHO</v>
      </c>
      <c r="K116" s="92" t="s">
        <v>25</v>
      </c>
    </row>
    <row r="117" spans="2:11">
      <c r="B117" s="92">
        <v>6.5</v>
      </c>
      <c r="C117" s="92">
        <v>2.8</v>
      </c>
      <c r="D117" s="92">
        <v>4.5999999999999996</v>
      </c>
      <c r="E117" s="92">
        <v>1.5</v>
      </c>
      <c r="F117" s="92" t="s">
        <v>26</v>
      </c>
      <c r="G117" s="92" t="str">
        <f>IF([1]!DataIris[[#This Row],[Largo de sépalo]]&lt;=5.5,"CORTO",IF([1]!DataIris[[#This Row],[Largo de sépalo]]&lt;=6.7,"MEDIANO","LARGO"))</f>
        <v>MEDIANO</v>
      </c>
      <c r="H117" s="92" t="str">
        <f>IF([1]!DataIris[[#This Row],[Ancho de sépalo]]&lt;=3.2,"ESTRECHO","ANCHO")</f>
        <v>ESTRECHO</v>
      </c>
      <c r="I117" s="92" t="str">
        <f>IF([1]!DataIris[[#This Row],[Largo de pétalo]]&lt;=3,"CORTO",IF([1]!DataIris[[#This Row],[Largo de pétalo]]&lt;=5,"MEDIANO","LARGO"))</f>
        <v>MEDIANO</v>
      </c>
      <c r="J117" s="92" t="str">
        <f>IF([1]!DataIris[[#This Row],[Ancho de pétalo]]&lt;=1.4,"ESTRECHO","ANCHO")</f>
        <v>ANCHO</v>
      </c>
      <c r="K117" s="92" t="s">
        <v>25</v>
      </c>
    </row>
    <row r="118" spans="2:11">
      <c r="B118" s="92">
        <v>6.5</v>
      </c>
      <c r="C118" s="92">
        <v>3</v>
      </c>
      <c r="D118" s="92">
        <v>5.5</v>
      </c>
      <c r="E118" s="92">
        <v>1.8</v>
      </c>
      <c r="F118" s="92" t="s">
        <v>27</v>
      </c>
      <c r="G118" s="92" t="str">
        <f>IF([1]!DataIris[[#This Row],[Largo de sépalo]]&lt;=5.5,"CORTO",IF([1]!DataIris[[#This Row],[Largo de sépalo]]&lt;=6.7,"MEDIANO","LARGO"))</f>
        <v>MEDIANO</v>
      </c>
      <c r="H118" s="92" t="str">
        <f>IF([1]!DataIris[[#This Row],[Ancho de sépalo]]&lt;=3.2,"ESTRECHO","ANCHO")</f>
        <v>ESTRECHO</v>
      </c>
      <c r="I118" s="92" t="str">
        <f>IF([1]!DataIris[[#This Row],[Largo de pétalo]]&lt;=3,"CORTO",IF([1]!DataIris[[#This Row],[Largo de pétalo]]&lt;=5,"MEDIANO","LARGO"))</f>
        <v>LARGO</v>
      </c>
      <c r="J118" s="92" t="str">
        <f>IF([1]!DataIris[[#This Row],[Ancho de pétalo]]&lt;=1.4,"ESTRECHO","ANCHO")</f>
        <v>ANCHO</v>
      </c>
      <c r="K118" s="92" t="s">
        <v>25</v>
      </c>
    </row>
    <row r="119" spans="2:11">
      <c r="B119" s="92">
        <v>6.5</v>
      </c>
      <c r="C119" s="92">
        <v>3.2</v>
      </c>
      <c r="D119" s="92">
        <v>5.0999999999999996</v>
      </c>
      <c r="E119" s="92">
        <v>2</v>
      </c>
      <c r="F119" s="92" t="s">
        <v>27</v>
      </c>
      <c r="G119" s="92" t="str">
        <f>IF([1]!DataIris[[#This Row],[Largo de sépalo]]&lt;=5.5,"CORTO",IF([1]!DataIris[[#This Row],[Largo de sépalo]]&lt;=6.7,"MEDIANO","LARGO"))</f>
        <v>MEDIANO</v>
      </c>
      <c r="H119" s="92" t="str">
        <f>IF([1]!DataIris[[#This Row],[Ancho de sépalo]]&lt;=3.2,"ESTRECHO","ANCHO")</f>
        <v>ESTRECHO</v>
      </c>
      <c r="I119" s="92" t="str">
        <f>IF([1]!DataIris[[#This Row],[Largo de pétalo]]&lt;=3,"CORTO",IF([1]!DataIris[[#This Row],[Largo de pétalo]]&lt;=5,"MEDIANO","LARGO"))</f>
        <v>LARGO</v>
      </c>
      <c r="J119" s="92" t="str">
        <f>IF([1]!DataIris[[#This Row],[Ancho de pétalo]]&lt;=1.4,"ESTRECHO","ANCHO")</f>
        <v>ANCHO</v>
      </c>
      <c r="K119" s="92" t="s">
        <v>25</v>
      </c>
    </row>
    <row r="120" spans="2:11">
      <c r="B120" s="92">
        <v>6.5</v>
      </c>
      <c r="C120" s="92">
        <v>3</v>
      </c>
      <c r="D120" s="92">
        <v>5.2</v>
      </c>
      <c r="E120" s="92">
        <v>2</v>
      </c>
      <c r="F120" s="92" t="s">
        <v>27</v>
      </c>
      <c r="G120" s="92" t="str">
        <f>IF([1]!DataIris[[#This Row],[Largo de sépalo]]&lt;=5.5,"CORTO",IF([1]!DataIris[[#This Row],[Largo de sépalo]]&lt;=6.7,"MEDIANO","LARGO"))</f>
        <v>MEDIANO</v>
      </c>
      <c r="H120" s="92" t="str">
        <f>IF([1]!DataIris[[#This Row],[Ancho de sépalo]]&lt;=3.2,"ESTRECHO","ANCHO")</f>
        <v>ESTRECHO</v>
      </c>
      <c r="I120" s="92" t="str">
        <f>IF([1]!DataIris[[#This Row],[Largo de pétalo]]&lt;=3,"CORTO",IF([1]!DataIris[[#This Row],[Largo de pétalo]]&lt;=5,"MEDIANO","LARGO"))</f>
        <v>LARGO</v>
      </c>
      <c r="J120" s="92" t="str">
        <f>IF([1]!DataIris[[#This Row],[Ancho de pétalo]]&lt;=1.4,"ESTRECHO","ANCHO")</f>
        <v>ANCHO</v>
      </c>
      <c r="K120" s="92" t="s">
        <v>26</v>
      </c>
    </row>
    <row r="121" spans="2:11">
      <c r="B121" s="92">
        <v>6.5</v>
      </c>
      <c r="C121" s="92">
        <v>3</v>
      </c>
      <c r="D121" s="92">
        <v>5.8</v>
      </c>
      <c r="E121" s="92">
        <v>2.2000000000000002</v>
      </c>
      <c r="F121" s="92" t="s">
        <v>27</v>
      </c>
      <c r="G121" s="92" t="str">
        <f>IF([1]!DataIris[[#This Row],[Largo de sépalo]]&lt;=5.5,"CORTO",IF([1]!DataIris[[#This Row],[Largo de sépalo]]&lt;=6.7,"MEDIANO","LARGO"))</f>
        <v>MEDIANO</v>
      </c>
      <c r="H121" s="92" t="str">
        <f>IF([1]!DataIris[[#This Row],[Ancho de sépalo]]&lt;=3.2,"ESTRECHO","ANCHO")</f>
        <v>ESTRECHO</v>
      </c>
      <c r="I121" s="92" t="str">
        <f>IF([1]!DataIris[[#This Row],[Largo de pétalo]]&lt;=3,"CORTO",IF([1]!DataIris[[#This Row],[Largo de pétalo]]&lt;=5,"MEDIANO","LARGO"))</f>
        <v>LARGO</v>
      </c>
      <c r="J121" s="92" t="str">
        <f>IF([1]!DataIris[[#This Row],[Ancho de pétalo]]&lt;=1.4,"ESTRECHO","ANCHO")</f>
        <v>ANCHO</v>
      </c>
      <c r="K121" s="92" t="s">
        <v>26</v>
      </c>
    </row>
    <row r="122" spans="2:11">
      <c r="B122" s="92">
        <v>6.6</v>
      </c>
      <c r="C122" s="92">
        <v>2.9</v>
      </c>
      <c r="D122" s="92">
        <v>4.5999999999999996</v>
      </c>
      <c r="E122" s="92">
        <v>1.3</v>
      </c>
      <c r="F122" s="92" t="s">
        <v>26</v>
      </c>
      <c r="G122" s="92" t="str">
        <f>IF([1]!DataIris[[#This Row],[Largo de sépalo]]&lt;=5.5,"CORTO",IF([1]!DataIris[[#This Row],[Largo de sépalo]]&lt;=6.7,"MEDIANO","LARGO"))</f>
        <v>MEDIANO</v>
      </c>
      <c r="H122" s="92" t="str">
        <f>IF([1]!DataIris[[#This Row],[Ancho de sépalo]]&lt;=3.2,"ESTRECHO","ANCHO")</f>
        <v>ESTRECHO</v>
      </c>
      <c r="I122" s="92" t="str">
        <f>IF([1]!DataIris[[#This Row],[Largo de pétalo]]&lt;=3,"CORTO",IF([1]!DataIris[[#This Row],[Largo de pétalo]]&lt;=5,"MEDIANO","LARGO"))</f>
        <v>MEDIANO</v>
      </c>
      <c r="J122" s="92" t="str">
        <f>IF([1]!DataIris[[#This Row],[Ancho de pétalo]]&lt;=1.4,"ESTRECHO","ANCHO")</f>
        <v>ESTRECHO</v>
      </c>
      <c r="K122" s="92" t="s">
        <v>25</v>
      </c>
    </row>
    <row r="123" spans="2:11">
      <c r="B123" s="92">
        <v>6.6</v>
      </c>
      <c r="C123" s="92">
        <v>3</v>
      </c>
      <c r="D123" s="92">
        <v>4.4000000000000004</v>
      </c>
      <c r="E123" s="92">
        <v>1.4</v>
      </c>
      <c r="F123" s="92" t="s">
        <v>26</v>
      </c>
      <c r="G123" s="92" t="str">
        <f>IF([1]!DataIris[[#This Row],[Largo de sépalo]]&lt;=5.5,"CORTO",IF([1]!DataIris[[#This Row],[Largo de sépalo]]&lt;=6.7,"MEDIANO","LARGO"))</f>
        <v>MEDIANO</v>
      </c>
      <c r="H123" s="92" t="str">
        <f>IF([1]!DataIris[[#This Row],[Ancho de sépalo]]&lt;=3.2,"ESTRECHO","ANCHO")</f>
        <v>ESTRECHO</v>
      </c>
      <c r="I123" s="92" t="str">
        <f>IF([1]!DataIris[[#This Row],[Largo de pétalo]]&lt;=3,"CORTO",IF([1]!DataIris[[#This Row],[Largo de pétalo]]&lt;=5,"MEDIANO","LARGO"))</f>
        <v>MEDIANO</v>
      </c>
      <c r="J123" s="92" t="str">
        <f>IF([1]!DataIris[[#This Row],[Ancho de pétalo]]&lt;=1.4,"ESTRECHO","ANCHO")</f>
        <v>ESTRECHO</v>
      </c>
      <c r="K123" s="92" t="s">
        <v>25</v>
      </c>
    </row>
    <row r="124" spans="2:11">
      <c r="B124" s="92">
        <v>6.7</v>
      </c>
      <c r="C124" s="92">
        <v>3.1</v>
      </c>
      <c r="D124" s="92">
        <v>4.4000000000000004</v>
      </c>
      <c r="E124" s="92">
        <v>1.4</v>
      </c>
      <c r="F124" s="92" t="s">
        <v>26</v>
      </c>
      <c r="G124" s="92" t="str">
        <f>IF([1]!DataIris[[#This Row],[Largo de sépalo]]&lt;=5.5,"CORTO",IF([1]!DataIris[[#This Row],[Largo de sépalo]]&lt;=6.7,"MEDIANO","LARGO"))</f>
        <v>MEDIANO</v>
      </c>
      <c r="H124" s="92" t="str">
        <f>IF([1]!DataIris[[#This Row],[Ancho de sépalo]]&lt;=3.2,"ESTRECHO","ANCHO")</f>
        <v>ESTRECHO</v>
      </c>
      <c r="I124" s="92" t="str">
        <f>IF([1]!DataIris[[#This Row],[Largo de pétalo]]&lt;=3,"CORTO",IF([1]!DataIris[[#This Row],[Largo de pétalo]]&lt;=5,"MEDIANO","LARGO"))</f>
        <v>MEDIANO</v>
      </c>
      <c r="J124" s="92" t="str">
        <f>IF([1]!DataIris[[#This Row],[Ancho de pétalo]]&lt;=1.4,"ESTRECHO","ANCHO")</f>
        <v>ESTRECHO</v>
      </c>
      <c r="K124" s="92" t="s">
        <v>25</v>
      </c>
    </row>
    <row r="125" spans="2:11">
      <c r="B125" s="92">
        <v>6.7</v>
      </c>
      <c r="C125" s="92">
        <v>3.1</v>
      </c>
      <c r="D125" s="92">
        <v>4.7</v>
      </c>
      <c r="E125" s="92">
        <v>1.5</v>
      </c>
      <c r="F125" s="92" t="s">
        <v>26</v>
      </c>
      <c r="G125" s="92" t="str">
        <f>IF([1]!DataIris[[#This Row],[Largo de sépalo]]&lt;=5.5,"CORTO",IF([1]!DataIris[[#This Row],[Largo de sépalo]]&lt;=6.7,"MEDIANO","LARGO"))</f>
        <v>MEDIANO</v>
      </c>
      <c r="H125" s="92" t="str">
        <f>IF([1]!DataIris[[#This Row],[Ancho de sépalo]]&lt;=3.2,"ESTRECHO","ANCHO")</f>
        <v>ESTRECHO</v>
      </c>
      <c r="I125" s="92" t="str">
        <f>IF([1]!DataIris[[#This Row],[Largo de pétalo]]&lt;=3,"CORTO",IF([1]!DataIris[[#This Row],[Largo de pétalo]]&lt;=5,"MEDIANO","LARGO"))</f>
        <v>MEDIANO</v>
      </c>
      <c r="J125" s="92" t="str">
        <f>IF([1]!DataIris[[#This Row],[Ancho de pétalo]]&lt;=1.4,"ESTRECHO","ANCHO")</f>
        <v>ANCHO</v>
      </c>
      <c r="K125" s="92" t="s">
        <v>25</v>
      </c>
    </row>
    <row r="126" spans="2:11">
      <c r="B126" s="92">
        <v>6.7</v>
      </c>
      <c r="C126" s="92">
        <v>3</v>
      </c>
      <c r="D126" s="92">
        <v>5</v>
      </c>
      <c r="E126" s="92">
        <v>1.7</v>
      </c>
      <c r="F126" s="92" t="s">
        <v>26</v>
      </c>
      <c r="G126" s="92" t="str">
        <f>IF([1]!DataIris[[#This Row],[Largo de sépalo]]&lt;=5.5,"CORTO",IF([1]!DataIris[[#This Row],[Largo de sépalo]]&lt;=6.7,"MEDIANO","LARGO"))</f>
        <v>MEDIANO</v>
      </c>
      <c r="H126" s="92" t="str">
        <f>IF([1]!DataIris[[#This Row],[Ancho de sépalo]]&lt;=3.2,"ESTRECHO","ANCHO")</f>
        <v>ESTRECHO</v>
      </c>
      <c r="I126" s="92" t="str">
        <f>IF([1]!DataIris[[#This Row],[Largo de pétalo]]&lt;=3,"CORTO",IF([1]!DataIris[[#This Row],[Largo de pétalo]]&lt;=5,"MEDIANO","LARGO"))</f>
        <v>MEDIANO</v>
      </c>
      <c r="J126" s="92" t="str">
        <f>IF([1]!DataIris[[#This Row],[Ancho de pétalo]]&lt;=1.4,"ESTRECHO","ANCHO")</f>
        <v>ANCHO</v>
      </c>
      <c r="K126" s="92" t="s">
        <v>25</v>
      </c>
    </row>
    <row r="127" spans="2:11">
      <c r="B127" s="92">
        <v>6.7</v>
      </c>
      <c r="C127" s="92">
        <v>2.5</v>
      </c>
      <c r="D127" s="92">
        <v>5.8</v>
      </c>
      <c r="E127" s="92">
        <v>1.8</v>
      </c>
      <c r="F127" s="92" t="s">
        <v>27</v>
      </c>
      <c r="G127" s="92" t="str">
        <f>IF([1]!DataIris[[#This Row],[Largo de sépalo]]&lt;=5.5,"CORTO",IF([1]!DataIris[[#This Row],[Largo de sépalo]]&lt;=6.7,"MEDIANO","LARGO"))</f>
        <v>MEDIANO</v>
      </c>
      <c r="H127" s="92" t="str">
        <f>IF([1]!DataIris[[#This Row],[Ancho de sépalo]]&lt;=3.2,"ESTRECHO","ANCHO")</f>
        <v>ESTRECHO</v>
      </c>
      <c r="I127" s="92" t="str">
        <f>IF([1]!DataIris[[#This Row],[Largo de pétalo]]&lt;=3,"CORTO",IF([1]!DataIris[[#This Row],[Largo de pétalo]]&lt;=5,"MEDIANO","LARGO"))</f>
        <v>LARGO</v>
      </c>
      <c r="J127" s="92" t="str">
        <f>IF([1]!DataIris[[#This Row],[Ancho de pétalo]]&lt;=1.4,"ESTRECHO","ANCHO")</f>
        <v>ANCHO</v>
      </c>
      <c r="K127" s="92" t="s">
        <v>25</v>
      </c>
    </row>
    <row r="128" spans="2:11">
      <c r="B128" s="92">
        <v>6.7</v>
      </c>
      <c r="C128" s="92">
        <v>3.3</v>
      </c>
      <c r="D128" s="92">
        <v>5.7</v>
      </c>
      <c r="E128" s="92">
        <v>2.1</v>
      </c>
      <c r="F128" s="92" t="s">
        <v>27</v>
      </c>
      <c r="G128" s="92" t="str">
        <f>IF([1]!DataIris[[#This Row],[Largo de sépalo]]&lt;=5.5,"CORTO",IF([1]!DataIris[[#This Row],[Largo de sépalo]]&lt;=6.7,"MEDIANO","LARGO"))</f>
        <v>MEDIANO</v>
      </c>
      <c r="H128" s="92" t="str">
        <f>IF([1]!DataIris[[#This Row],[Ancho de sépalo]]&lt;=3.2,"ESTRECHO","ANCHO")</f>
        <v>ANCHO</v>
      </c>
      <c r="I128" s="92" t="str">
        <f>IF([1]!DataIris[[#This Row],[Largo de pétalo]]&lt;=3,"CORTO",IF([1]!DataIris[[#This Row],[Largo de pétalo]]&lt;=5,"MEDIANO","LARGO"))</f>
        <v>LARGO</v>
      </c>
      <c r="J128" s="92" t="str">
        <f>IF([1]!DataIris[[#This Row],[Ancho de pétalo]]&lt;=1.4,"ESTRECHO","ANCHO")</f>
        <v>ANCHO</v>
      </c>
      <c r="K128" s="92" t="s">
        <v>25</v>
      </c>
    </row>
    <row r="129" spans="2:11">
      <c r="B129" s="92">
        <v>6.7</v>
      </c>
      <c r="C129" s="92">
        <v>3</v>
      </c>
      <c r="D129" s="92">
        <v>5.2</v>
      </c>
      <c r="E129" s="92">
        <v>2.2999999999999998</v>
      </c>
      <c r="F129" s="92" t="s">
        <v>27</v>
      </c>
      <c r="G129" s="92" t="str">
        <f>IF([1]!DataIris[[#This Row],[Largo de sépalo]]&lt;=5.5,"CORTO",IF([1]!DataIris[[#This Row],[Largo de sépalo]]&lt;=6.7,"MEDIANO","LARGO"))</f>
        <v>MEDIANO</v>
      </c>
      <c r="H129" s="92" t="str">
        <f>IF([1]!DataIris[[#This Row],[Ancho de sépalo]]&lt;=3.2,"ESTRECHO","ANCHO")</f>
        <v>ESTRECHO</v>
      </c>
      <c r="I129" s="92" t="str">
        <f>IF([1]!DataIris[[#This Row],[Largo de pétalo]]&lt;=3,"CORTO",IF([1]!DataIris[[#This Row],[Largo de pétalo]]&lt;=5,"MEDIANO","LARGO"))</f>
        <v>LARGO</v>
      </c>
      <c r="J129" s="92" t="str">
        <f>IF([1]!DataIris[[#This Row],[Ancho de pétalo]]&lt;=1.4,"ESTRECHO","ANCHO")</f>
        <v>ANCHO</v>
      </c>
      <c r="K129" s="92" t="s">
        <v>25</v>
      </c>
    </row>
    <row r="130" spans="2:11">
      <c r="B130" s="92">
        <v>6.7</v>
      </c>
      <c r="C130" s="92">
        <v>3.1</v>
      </c>
      <c r="D130" s="92">
        <v>5.6</v>
      </c>
      <c r="E130" s="92">
        <v>2.4</v>
      </c>
      <c r="F130" s="92" t="s">
        <v>27</v>
      </c>
      <c r="G130" s="92" t="str">
        <f>IF([1]!DataIris[[#This Row],[Largo de sépalo]]&lt;=5.5,"CORTO",IF([1]!DataIris[[#This Row],[Largo de sépalo]]&lt;=6.7,"MEDIANO","LARGO"))</f>
        <v>MEDIANO</v>
      </c>
      <c r="H130" s="92" t="str">
        <f>IF([1]!DataIris[[#This Row],[Ancho de sépalo]]&lt;=3.2,"ESTRECHO","ANCHO")</f>
        <v>ESTRECHO</v>
      </c>
      <c r="I130" s="92" t="str">
        <f>IF([1]!DataIris[[#This Row],[Largo de pétalo]]&lt;=3,"CORTO",IF([1]!DataIris[[#This Row],[Largo de pétalo]]&lt;=5,"MEDIANO","LARGO"))</f>
        <v>LARGO</v>
      </c>
      <c r="J130" s="92" t="str">
        <f>IF([1]!DataIris[[#This Row],[Ancho de pétalo]]&lt;=1.4,"ESTRECHO","ANCHO")</f>
        <v>ANCHO</v>
      </c>
      <c r="K130" s="92" t="s">
        <v>25</v>
      </c>
    </row>
    <row r="131" spans="2:11">
      <c r="B131" s="92">
        <v>6.7</v>
      </c>
      <c r="C131" s="92">
        <v>3.3</v>
      </c>
      <c r="D131" s="92">
        <v>5.7</v>
      </c>
      <c r="E131" s="92">
        <v>2.5</v>
      </c>
      <c r="F131" s="92" t="s">
        <v>27</v>
      </c>
      <c r="G131" s="92" t="str">
        <f>IF([1]!DataIris[[#This Row],[Largo de sépalo]]&lt;=5.5,"CORTO",IF([1]!DataIris[[#This Row],[Largo de sépalo]]&lt;=6.7,"MEDIANO","LARGO"))</f>
        <v>MEDIANO</v>
      </c>
      <c r="H131" s="92" t="str">
        <f>IF([1]!DataIris[[#This Row],[Ancho de sépalo]]&lt;=3.2,"ESTRECHO","ANCHO")</f>
        <v>ANCHO</v>
      </c>
      <c r="I131" s="92" t="str">
        <f>IF([1]!DataIris[[#This Row],[Largo de pétalo]]&lt;=3,"CORTO",IF([1]!DataIris[[#This Row],[Largo de pétalo]]&lt;=5,"MEDIANO","LARGO"))</f>
        <v>LARGO</v>
      </c>
      <c r="J131" s="92" t="str">
        <f>IF([1]!DataIris[[#This Row],[Ancho de pétalo]]&lt;=1.4,"ESTRECHO","ANCHO")</f>
        <v>ANCHO</v>
      </c>
      <c r="K131" s="92" t="s">
        <v>26</v>
      </c>
    </row>
    <row r="132" spans="2:11">
      <c r="B132" s="92">
        <v>6.8</v>
      </c>
      <c r="C132" s="92">
        <v>2.8</v>
      </c>
      <c r="D132" s="92">
        <v>4.8</v>
      </c>
      <c r="E132" s="92">
        <v>1.4</v>
      </c>
      <c r="F132" s="92" t="s">
        <v>26</v>
      </c>
      <c r="G132" s="92" t="str">
        <f>IF([1]!DataIris[[#This Row],[Largo de sépalo]]&lt;=5.5,"CORTO",IF([1]!DataIris[[#This Row],[Largo de sépalo]]&lt;=6.7,"MEDIANO","LARGO"))</f>
        <v>LARGO</v>
      </c>
      <c r="H132" s="92" t="str">
        <f>IF([1]!DataIris[[#This Row],[Ancho de sépalo]]&lt;=3.2,"ESTRECHO","ANCHO")</f>
        <v>ESTRECHO</v>
      </c>
      <c r="I132" s="92" t="str">
        <f>IF([1]!DataIris[[#This Row],[Largo de pétalo]]&lt;=3,"CORTO",IF([1]!DataIris[[#This Row],[Largo de pétalo]]&lt;=5,"MEDIANO","LARGO"))</f>
        <v>MEDIANO</v>
      </c>
      <c r="J132" s="92" t="str">
        <f>IF([1]!DataIris[[#This Row],[Ancho de pétalo]]&lt;=1.4,"ESTRECHO","ANCHO")</f>
        <v>ESTRECHO</v>
      </c>
      <c r="K132" s="92" t="s">
        <v>25</v>
      </c>
    </row>
    <row r="133" spans="2:11">
      <c r="B133" s="92">
        <v>6.8</v>
      </c>
      <c r="C133" s="92">
        <v>3</v>
      </c>
      <c r="D133" s="92">
        <v>5.5</v>
      </c>
      <c r="E133" s="92">
        <v>2.1</v>
      </c>
      <c r="F133" s="92" t="s">
        <v>27</v>
      </c>
      <c r="G133" s="92" t="str">
        <f>IF([1]!DataIris[[#This Row],[Largo de sépalo]]&lt;=5.5,"CORTO",IF([1]!DataIris[[#This Row],[Largo de sépalo]]&lt;=6.7,"MEDIANO","LARGO"))</f>
        <v>LARGO</v>
      </c>
      <c r="H133" s="92" t="str">
        <f>IF([1]!DataIris[[#This Row],[Ancho de sépalo]]&lt;=3.2,"ESTRECHO","ANCHO")</f>
        <v>ESTRECHO</v>
      </c>
      <c r="I133" s="92" t="str">
        <f>IF([1]!DataIris[[#This Row],[Largo de pétalo]]&lt;=3,"CORTO",IF([1]!DataIris[[#This Row],[Largo de pétalo]]&lt;=5,"MEDIANO","LARGO"))</f>
        <v>LARGO</v>
      </c>
      <c r="J133" s="92" t="str">
        <f>IF([1]!DataIris[[#This Row],[Ancho de pétalo]]&lt;=1.4,"ESTRECHO","ANCHO")</f>
        <v>ANCHO</v>
      </c>
      <c r="K133" s="92" t="s">
        <v>25</v>
      </c>
    </row>
    <row r="134" spans="2:11">
      <c r="B134" s="92">
        <v>6.8</v>
      </c>
      <c r="C134" s="92">
        <v>3.2</v>
      </c>
      <c r="D134" s="92">
        <v>5.9</v>
      </c>
      <c r="E134" s="92">
        <v>2.2999999999999998</v>
      </c>
      <c r="F134" s="92" t="s">
        <v>27</v>
      </c>
      <c r="G134" s="92" t="str">
        <f>IF([1]!DataIris[[#This Row],[Largo de sépalo]]&lt;=5.5,"CORTO",IF([1]!DataIris[[#This Row],[Largo de sépalo]]&lt;=6.7,"MEDIANO","LARGO"))</f>
        <v>LARGO</v>
      </c>
      <c r="H134" s="92" t="str">
        <f>IF([1]!DataIris[[#This Row],[Ancho de sépalo]]&lt;=3.2,"ESTRECHO","ANCHO")</f>
        <v>ESTRECHO</v>
      </c>
      <c r="I134" s="92" t="str">
        <f>IF([1]!DataIris[[#This Row],[Largo de pétalo]]&lt;=3,"CORTO",IF([1]!DataIris[[#This Row],[Largo de pétalo]]&lt;=5,"MEDIANO","LARGO"))</f>
        <v>LARGO</v>
      </c>
      <c r="J134" s="92" t="str">
        <f>IF([1]!DataIris[[#This Row],[Ancho de pétalo]]&lt;=1.4,"ESTRECHO","ANCHO")</f>
        <v>ANCHO</v>
      </c>
      <c r="K134" s="92" t="s">
        <v>25</v>
      </c>
    </row>
    <row r="135" spans="2:11">
      <c r="B135" s="92">
        <v>6.9</v>
      </c>
      <c r="C135" s="92">
        <v>3.1</v>
      </c>
      <c r="D135" s="92">
        <v>4.9000000000000004</v>
      </c>
      <c r="E135" s="92">
        <v>1.5</v>
      </c>
      <c r="F135" s="92" t="s">
        <v>26</v>
      </c>
      <c r="G135" s="92" t="str">
        <f>IF([1]!DataIris[[#This Row],[Largo de sépalo]]&lt;=5.5,"CORTO",IF([1]!DataIris[[#This Row],[Largo de sépalo]]&lt;=6.7,"MEDIANO","LARGO"))</f>
        <v>LARGO</v>
      </c>
      <c r="H135" s="92" t="str">
        <f>IF([1]!DataIris[[#This Row],[Ancho de sépalo]]&lt;=3.2,"ESTRECHO","ANCHO")</f>
        <v>ESTRECHO</v>
      </c>
      <c r="I135" s="92" t="str">
        <f>IF([1]!DataIris[[#This Row],[Largo de pétalo]]&lt;=3,"CORTO",IF([1]!DataIris[[#This Row],[Largo de pétalo]]&lt;=5,"MEDIANO","LARGO"))</f>
        <v>MEDIANO</v>
      </c>
      <c r="J135" s="92" t="str">
        <f>IF([1]!DataIris[[#This Row],[Ancho de pétalo]]&lt;=1.4,"ESTRECHO","ANCHO")</f>
        <v>ANCHO</v>
      </c>
      <c r="K135" s="92" t="s">
        <v>25</v>
      </c>
    </row>
    <row r="136" spans="2:11">
      <c r="B136" s="92">
        <v>6.9</v>
      </c>
      <c r="C136" s="92">
        <v>3.1</v>
      </c>
      <c r="D136" s="92">
        <v>5.4</v>
      </c>
      <c r="E136" s="92">
        <v>2.1</v>
      </c>
      <c r="F136" s="92" t="s">
        <v>27</v>
      </c>
      <c r="G136" s="92" t="str">
        <f>IF([1]!DataIris[[#This Row],[Largo de sépalo]]&lt;=5.5,"CORTO",IF([1]!DataIris[[#This Row],[Largo de sépalo]]&lt;=6.7,"MEDIANO","LARGO"))</f>
        <v>LARGO</v>
      </c>
      <c r="H136" s="92" t="str">
        <f>IF([1]!DataIris[[#This Row],[Ancho de sépalo]]&lt;=3.2,"ESTRECHO","ANCHO")</f>
        <v>ESTRECHO</v>
      </c>
      <c r="I136" s="92" t="str">
        <f>IF([1]!DataIris[[#This Row],[Largo de pétalo]]&lt;=3,"CORTO",IF([1]!DataIris[[#This Row],[Largo de pétalo]]&lt;=5,"MEDIANO","LARGO"))</f>
        <v>LARGO</v>
      </c>
      <c r="J136" s="92" t="str">
        <f>IF([1]!DataIris[[#This Row],[Ancho de pétalo]]&lt;=1.4,"ESTRECHO","ANCHO")</f>
        <v>ANCHO</v>
      </c>
      <c r="K136" s="92" t="s">
        <v>26</v>
      </c>
    </row>
    <row r="137" spans="2:11">
      <c r="B137" s="92">
        <v>6.9</v>
      </c>
      <c r="C137" s="92">
        <v>3.1</v>
      </c>
      <c r="D137" s="92">
        <v>5.0999999999999996</v>
      </c>
      <c r="E137" s="92">
        <v>2.2999999999999998</v>
      </c>
      <c r="F137" s="92" t="s">
        <v>27</v>
      </c>
      <c r="G137" s="92" t="str">
        <f>IF([1]!DataIris[[#This Row],[Largo de sépalo]]&lt;=5.5,"CORTO",IF([1]!DataIris[[#This Row],[Largo de sépalo]]&lt;=6.7,"MEDIANO","LARGO"))</f>
        <v>LARGO</v>
      </c>
      <c r="H137" s="92" t="str">
        <f>IF([1]!DataIris[[#This Row],[Ancho de sépalo]]&lt;=3.2,"ESTRECHO","ANCHO")</f>
        <v>ESTRECHO</v>
      </c>
      <c r="I137" s="92" t="str">
        <f>IF([1]!DataIris[[#This Row],[Largo de pétalo]]&lt;=3,"CORTO",IF([1]!DataIris[[#This Row],[Largo de pétalo]]&lt;=5,"MEDIANO","LARGO"))</f>
        <v>LARGO</v>
      </c>
      <c r="J137" s="92" t="str">
        <f>IF([1]!DataIris[[#This Row],[Ancho de pétalo]]&lt;=1.4,"ESTRECHO","ANCHO")</f>
        <v>ANCHO</v>
      </c>
      <c r="K137" s="92" t="s">
        <v>25</v>
      </c>
    </row>
    <row r="138" spans="2:11">
      <c r="B138" s="92">
        <v>6.9</v>
      </c>
      <c r="C138" s="92">
        <v>3.2</v>
      </c>
      <c r="D138" s="92">
        <v>5.7</v>
      </c>
      <c r="E138" s="92">
        <v>2.2999999999999998</v>
      </c>
      <c r="F138" s="92" t="s">
        <v>27</v>
      </c>
      <c r="G138" s="92" t="str">
        <f>IF([1]!DataIris[[#This Row],[Largo de sépalo]]&lt;=5.5,"CORTO",IF([1]!DataIris[[#This Row],[Largo de sépalo]]&lt;=6.7,"MEDIANO","LARGO"))</f>
        <v>LARGO</v>
      </c>
      <c r="H138" s="92" t="str">
        <f>IF([1]!DataIris[[#This Row],[Ancho de sépalo]]&lt;=3.2,"ESTRECHO","ANCHO")</f>
        <v>ESTRECHO</v>
      </c>
      <c r="I138" s="92" t="str">
        <f>IF([1]!DataIris[[#This Row],[Largo de pétalo]]&lt;=3,"CORTO",IF([1]!DataIris[[#This Row],[Largo de pétalo]]&lt;=5,"MEDIANO","LARGO"))</f>
        <v>LARGO</v>
      </c>
      <c r="J138" s="92" t="str">
        <f>IF([1]!DataIris[[#This Row],[Ancho de pétalo]]&lt;=1.4,"ESTRECHO","ANCHO")</f>
        <v>ANCHO</v>
      </c>
      <c r="K138" s="92" t="s">
        <v>26</v>
      </c>
    </row>
    <row r="139" spans="2:11">
      <c r="B139" s="92">
        <v>7</v>
      </c>
      <c r="C139" s="92">
        <v>3.2</v>
      </c>
      <c r="D139" s="92">
        <v>4.7</v>
      </c>
      <c r="E139" s="92">
        <v>1.4</v>
      </c>
      <c r="F139" s="92" t="s">
        <v>26</v>
      </c>
      <c r="G139" s="92" t="str">
        <f>IF([1]!DataIris[[#This Row],[Largo de sépalo]]&lt;=5.5,"CORTO",IF([1]!DataIris[[#This Row],[Largo de sépalo]]&lt;=6.7,"MEDIANO","LARGO"))</f>
        <v>LARGO</v>
      </c>
      <c r="H139" s="92" t="str">
        <f>IF([1]!DataIris[[#This Row],[Ancho de sépalo]]&lt;=3.2,"ESTRECHO","ANCHO")</f>
        <v>ESTRECHO</v>
      </c>
      <c r="I139" s="92" t="str">
        <f>IF([1]!DataIris[[#This Row],[Largo de pétalo]]&lt;=3,"CORTO",IF([1]!DataIris[[#This Row],[Largo de pétalo]]&lt;=5,"MEDIANO","LARGO"))</f>
        <v>MEDIANO</v>
      </c>
      <c r="J139" s="92" t="str">
        <f>IF([1]!DataIris[[#This Row],[Ancho de pétalo]]&lt;=1.4,"ESTRECHO","ANCHO")</f>
        <v>ESTRECHO</v>
      </c>
      <c r="K139" s="92" t="s">
        <v>26</v>
      </c>
    </row>
    <row r="140" spans="2:11">
      <c r="B140" s="92">
        <v>7.1</v>
      </c>
      <c r="C140" s="92">
        <v>3</v>
      </c>
      <c r="D140" s="92">
        <v>5.9</v>
      </c>
      <c r="E140" s="92">
        <v>2.1</v>
      </c>
      <c r="F140" s="92" t="s">
        <v>27</v>
      </c>
      <c r="G140" s="92" t="str">
        <f>IF([1]!DataIris[[#This Row],[Largo de sépalo]]&lt;=5.5,"CORTO",IF([1]!DataIris[[#This Row],[Largo de sépalo]]&lt;=6.7,"MEDIANO","LARGO"))</f>
        <v>LARGO</v>
      </c>
      <c r="H140" s="92" t="str">
        <f>IF([1]!DataIris[[#This Row],[Ancho de sépalo]]&lt;=3.2,"ESTRECHO","ANCHO")</f>
        <v>ESTRECHO</v>
      </c>
      <c r="I140" s="92" t="str">
        <f>IF([1]!DataIris[[#This Row],[Largo de pétalo]]&lt;=3,"CORTO",IF([1]!DataIris[[#This Row],[Largo de pétalo]]&lt;=5,"MEDIANO","LARGO"))</f>
        <v>LARGO</v>
      </c>
      <c r="J140" s="92" t="str">
        <f>IF([1]!DataIris[[#This Row],[Ancho de pétalo]]&lt;=1.4,"ESTRECHO","ANCHO")</f>
        <v>ANCHO</v>
      </c>
      <c r="K140" s="92" t="s">
        <v>26</v>
      </c>
    </row>
    <row r="141" spans="2:11">
      <c r="B141" s="92">
        <v>7.2</v>
      </c>
      <c r="C141" s="92">
        <v>3</v>
      </c>
      <c r="D141" s="92">
        <v>5.8</v>
      </c>
      <c r="E141" s="92">
        <v>1.6</v>
      </c>
      <c r="F141" s="92" t="s">
        <v>27</v>
      </c>
      <c r="G141" s="92" t="str">
        <f>IF([1]!DataIris[[#This Row],[Largo de sépalo]]&lt;=5.5,"CORTO",IF([1]!DataIris[[#This Row],[Largo de sépalo]]&lt;=6.7,"MEDIANO","LARGO"))</f>
        <v>LARGO</v>
      </c>
      <c r="H141" s="92" t="str">
        <f>IF([1]!DataIris[[#This Row],[Ancho de sépalo]]&lt;=3.2,"ESTRECHO","ANCHO")</f>
        <v>ESTRECHO</v>
      </c>
      <c r="I141" s="92" t="str">
        <f>IF([1]!DataIris[[#This Row],[Largo de pétalo]]&lt;=3,"CORTO",IF([1]!DataIris[[#This Row],[Largo de pétalo]]&lt;=5,"MEDIANO","LARGO"))</f>
        <v>LARGO</v>
      </c>
      <c r="J141" s="92" t="str">
        <f>IF([1]!DataIris[[#This Row],[Ancho de pétalo]]&lt;=1.4,"ESTRECHO","ANCHO")</f>
        <v>ANCHO</v>
      </c>
      <c r="K141" s="92" t="s">
        <v>26</v>
      </c>
    </row>
    <row r="142" spans="2:11">
      <c r="B142" s="92">
        <v>7.2</v>
      </c>
      <c r="C142" s="92">
        <v>3.2</v>
      </c>
      <c r="D142" s="92">
        <v>6</v>
      </c>
      <c r="E142" s="92">
        <v>1.8</v>
      </c>
      <c r="F142" s="92" t="s">
        <v>27</v>
      </c>
      <c r="G142" s="92" t="str">
        <f>IF([1]!DataIris[[#This Row],[Largo de sépalo]]&lt;=5.5,"CORTO",IF([1]!DataIris[[#This Row],[Largo de sépalo]]&lt;=6.7,"MEDIANO","LARGO"))</f>
        <v>LARGO</v>
      </c>
      <c r="H142" s="92" t="str">
        <f>IF([1]!DataIris[[#This Row],[Ancho de sépalo]]&lt;=3.2,"ESTRECHO","ANCHO")</f>
        <v>ESTRECHO</v>
      </c>
      <c r="I142" s="92" t="str">
        <f>IF([1]!DataIris[[#This Row],[Largo de pétalo]]&lt;=3,"CORTO",IF([1]!DataIris[[#This Row],[Largo de pétalo]]&lt;=5,"MEDIANO","LARGO"))</f>
        <v>LARGO</v>
      </c>
      <c r="J142" s="92" t="str">
        <f>IF([1]!DataIris[[#This Row],[Ancho de pétalo]]&lt;=1.4,"ESTRECHO","ANCHO")</f>
        <v>ANCHO</v>
      </c>
      <c r="K142" s="92" t="s">
        <v>26</v>
      </c>
    </row>
    <row r="143" spans="2:11">
      <c r="B143" s="92">
        <v>7.2</v>
      </c>
      <c r="C143" s="92">
        <v>3.6</v>
      </c>
      <c r="D143" s="92">
        <v>6.1</v>
      </c>
      <c r="E143" s="92">
        <v>2.5</v>
      </c>
      <c r="F143" s="92" t="s">
        <v>27</v>
      </c>
      <c r="G143" s="92" t="str">
        <f>IF([1]!DataIris[[#This Row],[Largo de sépalo]]&lt;=5.5,"CORTO",IF([1]!DataIris[[#This Row],[Largo de sépalo]]&lt;=6.7,"MEDIANO","LARGO"))</f>
        <v>LARGO</v>
      </c>
      <c r="H143" s="92" t="str">
        <f>IF([1]!DataIris[[#This Row],[Ancho de sépalo]]&lt;=3.2,"ESTRECHO","ANCHO")</f>
        <v>ANCHO</v>
      </c>
      <c r="I143" s="92" t="str">
        <f>IF([1]!DataIris[[#This Row],[Largo de pétalo]]&lt;=3,"CORTO",IF([1]!DataIris[[#This Row],[Largo de pétalo]]&lt;=5,"MEDIANO","LARGO"))</f>
        <v>LARGO</v>
      </c>
      <c r="J143" s="92" t="str">
        <f>IF([1]!DataIris[[#This Row],[Ancho de pétalo]]&lt;=1.4,"ESTRECHO","ANCHO")</f>
        <v>ANCHO</v>
      </c>
      <c r="K143" s="92" t="s">
        <v>27</v>
      </c>
    </row>
    <row r="144" spans="2:11">
      <c r="B144" s="92">
        <v>7.3</v>
      </c>
      <c r="C144" s="92">
        <v>2.9</v>
      </c>
      <c r="D144" s="92">
        <v>6.3</v>
      </c>
      <c r="E144" s="92">
        <v>1.8</v>
      </c>
      <c r="F144" s="92" t="s">
        <v>27</v>
      </c>
      <c r="G144" s="92" t="str">
        <f>IF([1]!DataIris[[#This Row],[Largo de sépalo]]&lt;=5.5,"CORTO",IF([1]!DataIris[[#This Row],[Largo de sépalo]]&lt;=6.7,"MEDIANO","LARGO"))</f>
        <v>LARGO</v>
      </c>
      <c r="H144" s="92" t="str">
        <f>IF([1]!DataIris[[#This Row],[Ancho de sépalo]]&lt;=3.2,"ESTRECHO","ANCHO")</f>
        <v>ESTRECHO</v>
      </c>
      <c r="I144" s="92" t="str">
        <f>IF([1]!DataIris[[#This Row],[Largo de pétalo]]&lt;=3,"CORTO",IF([1]!DataIris[[#This Row],[Largo de pétalo]]&lt;=5,"MEDIANO","LARGO"))</f>
        <v>LARGO</v>
      </c>
      <c r="J144" s="92" t="str">
        <f>IF([1]!DataIris[[#This Row],[Ancho de pétalo]]&lt;=1.4,"ESTRECHO","ANCHO")</f>
        <v>ANCHO</v>
      </c>
      <c r="K144" s="92" t="s">
        <v>27</v>
      </c>
    </row>
    <row r="145" spans="2:30">
      <c r="B145" s="92">
        <v>7.4</v>
      </c>
      <c r="C145" s="92">
        <v>2.8</v>
      </c>
      <c r="D145" s="92">
        <v>6.1</v>
      </c>
      <c r="E145" s="92">
        <v>1.9</v>
      </c>
      <c r="F145" s="92" t="s">
        <v>27</v>
      </c>
      <c r="G145" s="92" t="str">
        <f>IF([1]!DataIris[[#This Row],[Largo de sépalo]]&lt;=5.5,"CORTO",IF([1]!DataIris[[#This Row],[Largo de sépalo]]&lt;=6.7,"MEDIANO","LARGO"))</f>
        <v>LARGO</v>
      </c>
      <c r="H145" s="92" t="str">
        <f>IF([1]!DataIris[[#This Row],[Ancho de sépalo]]&lt;=3.2,"ESTRECHO","ANCHO")</f>
        <v>ESTRECHO</v>
      </c>
      <c r="I145" s="92" t="str">
        <f>IF([1]!DataIris[[#This Row],[Largo de pétalo]]&lt;=3,"CORTO",IF([1]!DataIris[[#This Row],[Largo de pétalo]]&lt;=5,"MEDIANO","LARGO"))</f>
        <v>LARGO</v>
      </c>
      <c r="J145" s="92" t="str">
        <f>IF([1]!DataIris[[#This Row],[Ancho de pétalo]]&lt;=1.4,"ESTRECHO","ANCHO")</f>
        <v>ANCHO</v>
      </c>
      <c r="K145" s="92" t="s">
        <v>25</v>
      </c>
    </row>
    <row r="146" spans="2:30">
      <c r="B146" s="92">
        <v>7.6</v>
      </c>
      <c r="C146" s="92">
        <v>3</v>
      </c>
      <c r="D146" s="92">
        <v>6.6</v>
      </c>
      <c r="E146" s="92">
        <v>2.1</v>
      </c>
      <c r="F146" s="92" t="s">
        <v>27</v>
      </c>
      <c r="G146" s="92" t="str">
        <f>IF([1]!DataIris[[#This Row],[Largo de sépalo]]&lt;=5.5,"CORTO",IF([1]!DataIris[[#This Row],[Largo de sépalo]]&lt;=6.7,"MEDIANO","LARGO"))</f>
        <v>LARGO</v>
      </c>
      <c r="H146" s="92" t="str">
        <f>IF([1]!DataIris[[#This Row],[Ancho de sépalo]]&lt;=3.2,"ESTRECHO","ANCHO")</f>
        <v>ESTRECHO</v>
      </c>
      <c r="I146" s="92" t="str">
        <f>IF([1]!DataIris[[#This Row],[Largo de pétalo]]&lt;=3,"CORTO",IF([1]!DataIris[[#This Row],[Largo de pétalo]]&lt;=5,"MEDIANO","LARGO"))</f>
        <v>LARGO</v>
      </c>
      <c r="J146" s="92" t="str">
        <f>IF([1]!DataIris[[#This Row],[Ancho de pétalo]]&lt;=1.4,"ESTRECHO","ANCHO")</f>
        <v>ANCHO</v>
      </c>
      <c r="K146" s="92" t="s">
        <v>26</v>
      </c>
    </row>
    <row r="147" spans="2:30">
      <c r="B147" s="92">
        <v>7.7</v>
      </c>
      <c r="C147" s="92">
        <v>2.8</v>
      </c>
      <c r="D147" s="92">
        <v>6.7</v>
      </c>
      <c r="E147" s="92">
        <v>2</v>
      </c>
      <c r="F147" s="92" t="s">
        <v>27</v>
      </c>
      <c r="G147" s="92" t="str">
        <f>IF([1]!DataIris[[#This Row],[Largo de sépalo]]&lt;=5.5,"CORTO",IF([1]!DataIris[[#This Row],[Largo de sépalo]]&lt;=6.7,"MEDIANO","LARGO"))</f>
        <v>LARGO</v>
      </c>
      <c r="H147" s="92" t="str">
        <f>IF([1]!DataIris[[#This Row],[Ancho de sépalo]]&lt;=3.2,"ESTRECHO","ANCHO")</f>
        <v>ESTRECHO</v>
      </c>
      <c r="I147" s="92" t="str">
        <f>IF([1]!DataIris[[#This Row],[Largo de pétalo]]&lt;=3,"CORTO",IF([1]!DataIris[[#This Row],[Largo de pétalo]]&lt;=5,"MEDIANO","LARGO"))</f>
        <v>LARGO</v>
      </c>
      <c r="J147" s="92" t="str">
        <f>IF([1]!DataIris[[#This Row],[Ancho de pétalo]]&lt;=1.4,"ESTRECHO","ANCHO")</f>
        <v>ANCHO</v>
      </c>
      <c r="K147" s="92" t="s">
        <v>26</v>
      </c>
    </row>
    <row r="148" spans="2:30">
      <c r="B148" s="92">
        <v>7.7</v>
      </c>
      <c r="C148" s="92">
        <v>3.8</v>
      </c>
      <c r="D148" s="92">
        <v>6.7</v>
      </c>
      <c r="E148" s="92">
        <v>2.2000000000000002</v>
      </c>
      <c r="F148" s="92" t="s">
        <v>27</v>
      </c>
      <c r="G148" s="92" t="str">
        <f>IF([1]!DataIris[[#This Row],[Largo de sépalo]]&lt;=5.5,"CORTO",IF([1]!DataIris[[#This Row],[Largo de sépalo]]&lt;=6.7,"MEDIANO","LARGO"))</f>
        <v>LARGO</v>
      </c>
      <c r="H148" s="92" t="str">
        <f>IF([1]!DataIris[[#This Row],[Ancho de sépalo]]&lt;=3.2,"ESTRECHO","ANCHO")</f>
        <v>ANCHO</v>
      </c>
      <c r="I148" s="92" t="str">
        <f>IF([1]!DataIris[[#This Row],[Largo de pétalo]]&lt;=3,"CORTO",IF([1]!DataIris[[#This Row],[Largo de pétalo]]&lt;=5,"MEDIANO","LARGO"))</f>
        <v>LARGO</v>
      </c>
      <c r="J148" s="92" t="str">
        <f>IF([1]!DataIris[[#This Row],[Ancho de pétalo]]&lt;=1.4,"ESTRECHO","ANCHO")</f>
        <v>ANCHO</v>
      </c>
      <c r="K148" s="92" t="s">
        <v>27</v>
      </c>
    </row>
    <row r="149" spans="2:30">
      <c r="B149" s="92">
        <v>7.7</v>
      </c>
      <c r="C149" s="92">
        <v>3</v>
      </c>
      <c r="D149" s="92">
        <v>6.1</v>
      </c>
      <c r="E149" s="92">
        <v>2.2999999999999998</v>
      </c>
      <c r="F149" s="92" t="s">
        <v>27</v>
      </c>
      <c r="G149" s="92" t="str">
        <f>IF([1]!DataIris[[#This Row],[Largo de sépalo]]&lt;=5.5,"CORTO",IF([1]!DataIris[[#This Row],[Largo de sépalo]]&lt;=6.7,"MEDIANO","LARGO"))</f>
        <v>LARGO</v>
      </c>
      <c r="H149" s="92" t="str">
        <f>IF([1]!DataIris[[#This Row],[Ancho de sépalo]]&lt;=3.2,"ESTRECHO","ANCHO")</f>
        <v>ESTRECHO</v>
      </c>
      <c r="I149" s="92" t="str">
        <f>IF([1]!DataIris[[#This Row],[Largo de pétalo]]&lt;=3,"CORTO",IF([1]!DataIris[[#This Row],[Largo de pétalo]]&lt;=5,"MEDIANO","LARGO"))</f>
        <v>LARGO</v>
      </c>
      <c r="J149" s="92" t="str">
        <f>IF([1]!DataIris[[#This Row],[Ancho de pétalo]]&lt;=1.4,"ESTRECHO","ANCHO")</f>
        <v>ANCHO</v>
      </c>
      <c r="K149" s="92" t="s">
        <v>27</v>
      </c>
    </row>
    <row r="150" spans="2:30">
      <c r="B150" s="92">
        <v>7.7</v>
      </c>
      <c r="C150" s="92">
        <v>2.6</v>
      </c>
      <c r="D150" s="92">
        <v>6.9</v>
      </c>
      <c r="E150" s="92">
        <v>2.2999999999999998</v>
      </c>
      <c r="F150" s="92" t="s">
        <v>27</v>
      </c>
      <c r="G150" s="92" t="str">
        <f>IF([1]!DataIris[[#This Row],[Largo de sépalo]]&lt;=5.5,"CORTO",IF([1]!DataIris[[#This Row],[Largo de sépalo]]&lt;=6.7,"MEDIANO","LARGO"))</f>
        <v>LARGO</v>
      </c>
      <c r="H150" s="92" t="str">
        <f>IF([1]!DataIris[[#This Row],[Ancho de sépalo]]&lt;=3.2,"ESTRECHO","ANCHO")</f>
        <v>ESTRECHO</v>
      </c>
      <c r="I150" s="92" t="str">
        <f>IF([1]!DataIris[[#This Row],[Largo de pétalo]]&lt;=3,"CORTO",IF([1]!DataIris[[#This Row],[Largo de pétalo]]&lt;=5,"MEDIANO","LARGO"))</f>
        <v>LARGO</v>
      </c>
      <c r="J150" s="92" t="str">
        <f>IF([1]!DataIris[[#This Row],[Ancho de pétalo]]&lt;=1.4,"ESTRECHO","ANCHO")</f>
        <v>ANCHO</v>
      </c>
      <c r="K150" s="92" t="s">
        <v>25</v>
      </c>
    </row>
    <row r="151" spans="2:30">
      <c r="B151" s="92">
        <v>7.9</v>
      </c>
      <c r="C151" s="92">
        <v>3.8</v>
      </c>
      <c r="D151" s="92">
        <v>6.4</v>
      </c>
      <c r="E151" s="92">
        <v>2</v>
      </c>
      <c r="F151" s="92" t="s">
        <v>27</v>
      </c>
      <c r="G151" s="92" t="str">
        <f>IF([1]!DataIris[[#This Row],[Largo de sépalo]]&lt;=5.5,"CORTO",IF([1]!DataIris[[#This Row],[Largo de sépalo]]&lt;=6.7,"MEDIANO","LARGO"))</f>
        <v>LARGO</v>
      </c>
      <c r="H151" s="92" t="str">
        <f>IF([1]!DataIris[[#This Row],[Ancho de sépalo]]&lt;=3.2,"ESTRECHO","ANCHO")</f>
        <v>ANCHO</v>
      </c>
      <c r="I151" s="92" t="str">
        <f>IF([1]!DataIris[[#This Row],[Largo de pétalo]]&lt;=3,"CORTO",IF([1]!DataIris[[#This Row],[Largo de pétalo]]&lt;=5,"MEDIANO","LARGO"))</f>
        <v>LARGO</v>
      </c>
      <c r="J151" s="92" t="str">
        <f>IF([1]!DataIris[[#This Row],[Ancho de pétalo]]&lt;=1.4,"ESTRECHO","ANCHO")</f>
        <v>ANCHO</v>
      </c>
      <c r="K151" s="92" t="s">
        <v>26</v>
      </c>
    </row>
    <row r="154" spans="2:30">
      <c r="D154" s="14" t="s">
        <v>15</v>
      </c>
      <c r="E154" s="12">
        <v>1.5840000000000001</v>
      </c>
      <c r="H154" s="15" t="s">
        <v>19</v>
      </c>
      <c r="I154" s="13">
        <v>1.34</v>
      </c>
    </row>
    <row r="155" spans="2:30" s="6" customFormat="1"/>
    <row r="156" spans="2:30">
      <c r="B156" s="24" t="s">
        <v>16</v>
      </c>
      <c r="C156" s="25">
        <v>0.39600000000000002</v>
      </c>
      <c r="L156" s="24" t="s">
        <v>17</v>
      </c>
      <c r="M156" s="25">
        <v>0.33200000000000002</v>
      </c>
      <c r="V156" s="24" t="s">
        <v>18</v>
      </c>
      <c r="W156" s="25">
        <v>0</v>
      </c>
    </row>
    <row r="157" spans="2:30">
      <c r="B157" s="44" t="s">
        <v>28</v>
      </c>
      <c r="C157" s="50" t="s">
        <v>29</v>
      </c>
      <c r="D157" s="50" t="s">
        <v>30</v>
      </c>
      <c r="E157" s="50" t="s">
        <v>31</v>
      </c>
      <c r="F157" s="50" t="s">
        <v>24</v>
      </c>
      <c r="G157" s="50" t="s">
        <v>32</v>
      </c>
      <c r="H157" s="50" t="s">
        <v>33</v>
      </c>
      <c r="I157" s="50" t="s">
        <v>34</v>
      </c>
      <c r="J157" s="43" t="s">
        <v>35</v>
      </c>
      <c r="L157" s="87" t="s">
        <v>28</v>
      </c>
      <c r="M157" s="88" t="s">
        <v>29</v>
      </c>
      <c r="N157" s="88" t="s">
        <v>30</v>
      </c>
      <c r="O157" s="88" t="s">
        <v>31</v>
      </c>
      <c r="P157" s="88" t="s">
        <v>24</v>
      </c>
      <c r="Q157" s="88" t="s">
        <v>32</v>
      </c>
      <c r="R157" s="88" t="s">
        <v>33</v>
      </c>
      <c r="S157" s="88" t="s">
        <v>34</v>
      </c>
      <c r="T157" s="89" t="s">
        <v>35</v>
      </c>
      <c r="V157" s="99" t="s">
        <v>28</v>
      </c>
      <c r="W157" s="100" t="s">
        <v>29</v>
      </c>
      <c r="X157" s="100" t="s">
        <v>30</v>
      </c>
      <c r="Y157" s="100" t="s">
        <v>31</v>
      </c>
      <c r="Z157" s="100" t="s">
        <v>24</v>
      </c>
      <c r="AA157" s="100" t="s">
        <v>32</v>
      </c>
      <c r="AB157" s="100" t="s">
        <v>33</v>
      </c>
      <c r="AC157" s="100" t="s">
        <v>34</v>
      </c>
      <c r="AD157" s="101" t="s">
        <v>35</v>
      </c>
    </row>
    <row r="158" spans="2:30">
      <c r="B158" s="29">
        <v>6.9</v>
      </c>
      <c r="C158" s="22">
        <v>3.1</v>
      </c>
      <c r="D158" s="22">
        <v>4.9000000000000004</v>
      </c>
      <c r="E158" s="22">
        <v>1.5</v>
      </c>
      <c r="F158" s="22" t="s">
        <v>1</v>
      </c>
      <c r="G158" s="18" t="s">
        <v>10</v>
      </c>
      <c r="H158" s="18" t="s">
        <v>9</v>
      </c>
      <c r="I158" s="51" t="s">
        <v>10</v>
      </c>
      <c r="J158" s="97" t="s">
        <v>9</v>
      </c>
      <c r="L158" s="29">
        <v>7</v>
      </c>
      <c r="M158" s="22">
        <v>3.2</v>
      </c>
      <c r="N158" s="22">
        <v>4.7</v>
      </c>
      <c r="O158" s="22">
        <v>1.4</v>
      </c>
      <c r="P158" s="22" t="s">
        <v>1</v>
      </c>
      <c r="Q158" s="18" t="s">
        <v>10</v>
      </c>
      <c r="R158" s="18" t="s">
        <v>9</v>
      </c>
      <c r="S158" s="51" t="s">
        <v>9</v>
      </c>
      <c r="T158" s="97" t="s">
        <v>9</v>
      </c>
      <c r="V158" s="93">
        <v>5.0999999999999996</v>
      </c>
      <c r="W158" s="22">
        <v>3.5</v>
      </c>
      <c r="X158" s="22">
        <v>1.4</v>
      </c>
      <c r="Y158" s="22">
        <v>0.2</v>
      </c>
      <c r="Z158" s="22" t="s">
        <v>0</v>
      </c>
      <c r="AA158" s="18" t="s">
        <v>8</v>
      </c>
      <c r="AB158" s="18" t="s">
        <v>9</v>
      </c>
      <c r="AC158" s="51" t="s">
        <v>8</v>
      </c>
      <c r="AD158" s="97" t="s">
        <v>8</v>
      </c>
    </row>
    <row r="159" spans="2:30">
      <c r="B159" s="29">
        <v>6.3</v>
      </c>
      <c r="C159" s="22">
        <v>2.5</v>
      </c>
      <c r="D159" s="22">
        <v>4.9000000000000004</v>
      </c>
      <c r="E159" s="22">
        <v>1.5</v>
      </c>
      <c r="F159" s="22" t="s">
        <v>1</v>
      </c>
      <c r="G159" s="18" t="s">
        <v>9</v>
      </c>
      <c r="H159" s="18" t="s">
        <v>8</v>
      </c>
      <c r="I159" s="51" t="s">
        <v>10</v>
      </c>
      <c r="J159" s="97" t="s">
        <v>9</v>
      </c>
      <c r="L159" s="31">
        <v>6.4</v>
      </c>
      <c r="M159" s="18">
        <v>3.2</v>
      </c>
      <c r="N159" s="18">
        <v>4.5</v>
      </c>
      <c r="O159" s="18">
        <v>1.5</v>
      </c>
      <c r="P159" s="18" t="s">
        <v>1</v>
      </c>
      <c r="Q159" s="18" t="s">
        <v>9</v>
      </c>
      <c r="R159" s="18" t="s">
        <v>9</v>
      </c>
      <c r="S159" s="51" t="s">
        <v>9</v>
      </c>
      <c r="T159" s="97" t="s">
        <v>9</v>
      </c>
      <c r="V159" s="31">
        <v>4.9000000000000004</v>
      </c>
      <c r="W159" s="18">
        <v>3</v>
      </c>
      <c r="X159" s="18">
        <v>1.4</v>
      </c>
      <c r="Y159" s="18">
        <v>0.2</v>
      </c>
      <c r="Z159" s="18" t="s">
        <v>0</v>
      </c>
      <c r="AA159" s="18" t="s">
        <v>8</v>
      </c>
      <c r="AB159" s="18" t="s">
        <v>9</v>
      </c>
      <c r="AC159" s="51" t="s">
        <v>8</v>
      </c>
      <c r="AD159" s="97" t="s">
        <v>8</v>
      </c>
    </row>
    <row r="160" spans="2:30">
      <c r="B160" s="31">
        <v>6.7</v>
      </c>
      <c r="C160" s="18">
        <v>3</v>
      </c>
      <c r="D160" s="18">
        <v>5</v>
      </c>
      <c r="E160" s="18">
        <v>1.7</v>
      </c>
      <c r="F160" s="18" t="s">
        <v>1</v>
      </c>
      <c r="G160" s="18" t="s">
        <v>10</v>
      </c>
      <c r="H160" s="18" t="s">
        <v>9</v>
      </c>
      <c r="I160" s="51" t="s">
        <v>10</v>
      </c>
      <c r="J160" s="97" t="s">
        <v>9</v>
      </c>
      <c r="L160" s="31">
        <v>5.5</v>
      </c>
      <c r="M160" s="18">
        <v>2.2999999999999998</v>
      </c>
      <c r="N160" s="18">
        <v>4</v>
      </c>
      <c r="O160" s="18">
        <v>1.3</v>
      </c>
      <c r="P160" s="18" t="s">
        <v>1</v>
      </c>
      <c r="Q160" s="18" t="s">
        <v>8</v>
      </c>
      <c r="R160" s="18" t="s">
        <v>8</v>
      </c>
      <c r="S160" s="51" t="s">
        <v>9</v>
      </c>
      <c r="T160" s="97" t="s">
        <v>9</v>
      </c>
      <c r="V160" s="29">
        <v>4.7</v>
      </c>
      <c r="W160" s="22">
        <v>3.2</v>
      </c>
      <c r="X160" s="22">
        <v>1.3</v>
      </c>
      <c r="Y160" s="22">
        <v>0.2</v>
      </c>
      <c r="Z160" s="22" t="s">
        <v>0</v>
      </c>
      <c r="AA160" s="18" t="s">
        <v>8</v>
      </c>
      <c r="AB160" s="18" t="s">
        <v>9</v>
      </c>
      <c r="AC160" s="51" t="s">
        <v>8</v>
      </c>
      <c r="AD160" s="97" t="s">
        <v>8</v>
      </c>
    </row>
    <row r="161" spans="2:30">
      <c r="B161" s="31">
        <v>6</v>
      </c>
      <c r="C161" s="18">
        <v>2.7</v>
      </c>
      <c r="D161" s="18">
        <v>5.0999999999999996</v>
      </c>
      <c r="E161" s="18">
        <v>1.6</v>
      </c>
      <c r="F161" s="18" t="s">
        <v>1</v>
      </c>
      <c r="G161" s="18" t="s">
        <v>9</v>
      </c>
      <c r="H161" s="18" t="s">
        <v>8</v>
      </c>
      <c r="I161" s="51" t="s">
        <v>10</v>
      </c>
      <c r="J161" s="97" t="s">
        <v>9</v>
      </c>
      <c r="L161" s="29">
        <v>6.5</v>
      </c>
      <c r="M161" s="22">
        <v>2.8</v>
      </c>
      <c r="N161" s="22">
        <v>4.5999999999999996</v>
      </c>
      <c r="O161" s="22">
        <v>1.5</v>
      </c>
      <c r="P161" s="22" t="s">
        <v>1</v>
      </c>
      <c r="Q161" s="18" t="s">
        <v>9</v>
      </c>
      <c r="R161" s="18" t="s">
        <v>8</v>
      </c>
      <c r="S161" s="51" t="s">
        <v>9</v>
      </c>
      <c r="T161" s="97" t="s">
        <v>9</v>
      </c>
      <c r="V161" s="31">
        <v>4.5999999999999996</v>
      </c>
      <c r="W161" s="18">
        <v>3.1</v>
      </c>
      <c r="X161" s="18">
        <v>1.5</v>
      </c>
      <c r="Y161" s="18">
        <v>0.2</v>
      </c>
      <c r="Z161" s="18" t="s">
        <v>0</v>
      </c>
      <c r="AA161" s="18" t="s">
        <v>8</v>
      </c>
      <c r="AB161" s="18" t="s">
        <v>9</v>
      </c>
      <c r="AC161" s="51" t="s">
        <v>8</v>
      </c>
      <c r="AD161" s="97" t="s">
        <v>8</v>
      </c>
    </row>
    <row r="162" spans="2:30">
      <c r="B162" s="29">
        <v>6.3</v>
      </c>
      <c r="C162" s="22">
        <v>3.3</v>
      </c>
      <c r="D162" s="22">
        <v>6</v>
      </c>
      <c r="E162" s="22">
        <v>2.5</v>
      </c>
      <c r="F162" s="22" t="s">
        <v>2</v>
      </c>
      <c r="G162" s="18" t="s">
        <v>9</v>
      </c>
      <c r="H162" s="18" t="s">
        <v>9</v>
      </c>
      <c r="I162" s="51" t="s">
        <v>10</v>
      </c>
      <c r="J162" s="97" t="s">
        <v>10</v>
      </c>
      <c r="L162" s="31">
        <v>5.7</v>
      </c>
      <c r="M162" s="18">
        <v>2.8</v>
      </c>
      <c r="N162" s="18">
        <v>4.5</v>
      </c>
      <c r="O162" s="18">
        <v>1.3</v>
      </c>
      <c r="P162" s="18" t="s">
        <v>1</v>
      </c>
      <c r="Q162" s="18" t="s">
        <v>9</v>
      </c>
      <c r="R162" s="18" t="s">
        <v>8</v>
      </c>
      <c r="S162" s="51" t="s">
        <v>9</v>
      </c>
      <c r="T162" s="97" t="s">
        <v>9</v>
      </c>
      <c r="V162" s="29">
        <v>5</v>
      </c>
      <c r="W162" s="22">
        <v>3.6</v>
      </c>
      <c r="X162" s="22">
        <v>1.4</v>
      </c>
      <c r="Y162" s="22">
        <v>0.2</v>
      </c>
      <c r="Z162" s="22" t="s">
        <v>0</v>
      </c>
      <c r="AA162" s="18" t="s">
        <v>8</v>
      </c>
      <c r="AB162" s="18" t="s">
        <v>10</v>
      </c>
      <c r="AC162" s="51" t="s">
        <v>8</v>
      </c>
      <c r="AD162" s="97" t="s">
        <v>8</v>
      </c>
    </row>
    <row r="163" spans="2:30">
      <c r="B163" s="31">
        <v>5.8</v>
      </c>
      <c r="C163" s="18">
        <v>2.7</v>
      </c>
      <c r="D163" s="18">
        <v>5.0999999999999996</v>
      </c>
      <c r="E163" s="18">
        <v>1.9</v>
      </c>
      <c r="F163" s="18" t="s">
        <v>2</v>
      </c>
      <c r="G163" s="18" t="s">
        <v>9</v>
      </c>
      <c r="H163" s="18" t="s">
        <v>8</v>
      </c>
      <c r="I163" s="51" t="s">
        <v>10</v>
      </c>
      <c r="J163" s="97" t="s">
        <v>10</v>
      </c>
      <c r="L163" s="29">
        <v>6.3</v>
      </c>
      <c r="M163" s="22">
        <v>3.3</v>
      </c>
      <c r="N163" s="22">
        <v>4.7</v>
      </c>
      <c r="O163" s="22">
        <v>1.6</v>
      </c>
      <c r="P163" s="22" t="s">
        <v>1</v>
      </c>
      <c r="Q163" s="18" t="s">
        <v>9</v>
      </c>
      <c r="R163" s="18" t="s">
        <v>9</v>
      </c>
      <c r="S163" s="51" t="s">
        <v>9</v>
      </c>
      <c r="T163" s="97" t="s">
        <v>9</v>
      </c>
      <c r="V163" s="31">
        <v>5.4</v>
      </c>
      <c r="W163" s="18">
        <v>3.9</v>
      </c>
      <c r="X163" s="18">
        <v>1.7</v>
      </c>
      <c r="Y163" s="18">
        <v>0.4</v>
      </c>
      <c r="Z163" s="18" t="s">
        <v>0</v>
      </c>
      <c r="AA163" s="18" t="s">
        <v>8</v>
      </c>
      <c r="AB163" s="18" t="s">
        <v>10</v>
      </c>
      <c r="AC163" s="51" t="s">
        <v>8</v>
      </c>
      <c r="AD163" s="97" t="s">
        <v>8</v>
      </c>
    </row>
    <row r="164" spans="2:30">
      <c r="B164" s="29">
        <v>7.1</v>
      </c>
      <c r="C164" s="22">
        <v>3</v>
      </c>
      <c r="D164" s="22">
        <v>5.9</v>
      </c>
      <c r="E164" s="22">
        <v>2.1</v>
      </c>
      <c r="F164" s="22" t="s">
        <v>2</v>
      </c>
      <c r="G164" s="18" t="s">
        <v>10</v>
      </c>
      <c r="H164" s="18" t="s">
        <v>9</v>
      </c>
      <c r="I164" s="51" t="s">
        <v>10</v>
      </c>
      <c r="J164" s="97" t="s">
        <v>10</v>
      </c>
      <c r="L164" s="31">
        <v>4.9000000000000004</v>
      </c>
      <c r="M164" s="18">
        <v>2.4</v>
      </c>
      <c r="N164" s="18">
        <v>3.3</v>
      </c>
      <c r="O164" s="18">
        <v>1</v>
      </c>
      <c r="P164" s="18" t="s">
        <v>1</v>
      </c>
      <c r="Q164" s="18" t="s">
        <v>8</v>
      </c>
      <c r="R164" s="18" t="s">
        <v>8</v>
      </c>
      <c r="S164" s="51" t="s">
        <v>9</v>
      </c>
      <c r="T164" s="97" t="s">
        <v>9</v>
      </c>
      <c r="V164" s="29">
        <v>4.5999999999999996</v>
      </c>
      <c r="W164" s="22">
        <v>3.4</v>
      </c>
      <c r="X164" s="22">
        <v>1.4</v>
      </c>
      <c r="Y164" s="22">
        <v>0.3</v>
      </c>
      <c r="Z164" s="22" t="s">
        <v>0</v>
      </c>
      <c r="AA164" s="18" t="s">
        <v>8</v>
      </c>
      <c r="AB164" s="18" t="s">
        <v>9</v>
      </c>
      <c r="AC164" s="51" t="s">
        <v>8</v>
      </c>
      <c r="AD164" s="97" t="s">
        <v>8</v>
      </c>
    </row>
    <row r="165" spans="2:30">
      <c r="B165" s="31">
        <v>6.3</v>
      </c>
      <c r="C165" s="18">
        <v>2.9</v>
      </c>
      <c r="D165" s="18">
        <v>5.6</v>
      </c>
      <c r="E165" s="18">
        <v>1.8</v>
      </c>
      <c r="F165" s="18" t="s">
        <v>2</v>
      </c>
      <c r="G165" s="18" t="s">
        <v>9</v>
      </c>
      <c r="H165" s="18" t="s">
        <v>8</v>
      </c>
      <c r="I165" s="51" t="s">
        <v>10</v>
      </c>
      <c r="J165" s="97" t="s">
        <v>10</v>
      </c>
      <c r="L165" s="29">
        <v>6.6</v>
      </c>
      <c r="M165" s="22">
        <v>2.9</v>
      </c>
      <c r="N165" s="22">
        <v>4.5999999999999996</v>
      </c>
      <c r="O165" s="22">
        <v>1.3</v>
      </c>
      <c r="P165" s="22" t="s">
        <v>1</v>
      </c>
      <c r="Q165" s="18" t="s">
        <v>10</v>
      </c>
      <c r="R165" s="18" t="s">
        <v>8</v>
      </c>
      <c r="S165" s="51" t="s">
        <v>9</v>
      </c>
      <c r="T165" s="97" t="s">
        <v>9</v>
      </c>
      <c r="V165" s="31">
        <v>5</v>
      </c>
      <c r="W165" s="18">
        <v>3.4</v>
      </c>
      <c r="X165" s="18">
        <v>1.5</v>
      </c>
      <c r="Y165" s="18">
        <v>0.2</v>
      </c>
      <c r="Z165" s="18" t="s">
        <v>0</v>
      </c>
      <c r="AA165" s="18" t="s">
        <v>8</v>
      </c>
      <c r="AB165" s="18" t="s">
        <v>9</v>
      </c>
      <c r="AC165" s="51" t="s">
        <v>8</v>
      </c>
      <c r="AD165" s="97" t="s">
        <v>8</v>
      </c>
    </row>
    <row r="166" spans="2:30">
      <c r="B166" s="29">
        <v>6.5</v>
      </c>
      <c r="C166" s="22">
        <v>3</v>
      </c>
      <c r="D166" s="22">
        <v>5.8</v>
      </c>
      <c r="E166" s="22">
        <v>2.2000000000000002</v>
      </c>
      <c r="F166" s="22" t="s">
        <v>2</v>
      </c>
      <c r="G166" s="18" t="s">
        <v>9</v>
      </c>
      <c r="H166" s="18" t="s">
        <v>9</v>
      </c>
      <c r="I166" s="51" t="s">
        <v>10</v>
      </c>
      <c r="J166" s="97" t="s">
        <v>10</v>
      </c>
      <c r="L166" s="31">
        <v>5.2</v>
      </c>
      <c r="M166" s="18">
        <v>2.7</v>
      </c>
      <c r="N166" s="18">
        <v>3.9</v>
      </c>
      <c r="O166" s="18">
        <v>1.4</v>
      </c>
      <c r="P166" s="18" t="s">
        <v>1</v>
      </c>
      <c r="Q166" s="18" t="s">
        <v>8</v>
      </c>
      <c r="R166" s="18" t="s">
        <v>8</v>
      </c>
      <c r="S166" s="51" t="s">
        <v>9</v>
      </c>
      <c r="T166" s="97" t="s">
        <v>9</v>
      </c>
      <c r="V166" s="29">
        <v>4.4000000000000004</v>
      </c>
      <c r="W166" s="22">
        <v>2.9</v>
      </c>
      <c r="X166" s="22">
        <v>1.4</v>
      </c>
      <c r="Y166" s="22">
        <v>0.2</v>
      </c>
      <c r="Z166" s="22" t="s">
        <v>0</v>
      </c>
      <c r="AA166" s="18" t="s">
        <v>8</v>
      </c>
      <c r="AB166" s="18" t="s">
        <v>8</v>
      </c>
      <c r="AC166" s="51" t="s">
        <v>8</v>
      </c>
      <c r="AD166" s="97" t="s">
        <v>8</v>
      </c>
    </row>
    <row r="167" spans="2:30">
      <c r="B167" s="31">
        <v>7.6</v>
      </c>
      <c r="C167" s="18">
        <v>3</v>
      </c>
      <c r="D167" s="18">
        <v>6.6</v>
      </c>
      <c r="E167" s="18">
        <v>2.1</v>
      </c>
      <c r="F167" s="18" t="s">
        <v>2</v>
      </c>
      <c r="G167" s="18" t="s">
        <v>10</v>
      </c>
      <c r="H167" s="18" t="s">
        <v>9</v>
      </c>
      <c r="I167" s="51" t="s">
        <v>10</v>
      </c>
      <c r="J167" s="97" t="s">
        <v>10</v>
      </c>
      <c r="L167" s="29">
        <v>5</v>
      </c>
      <c r="M167" s="22">
        <v>2</v>
      </c>
      <c r="N167" s="22">
        <v>3.5</v>
      </c>
      <c r="O167" s="22">
        <v>1</v>
      </c>
      <c r="P167" s="22" t="s">
        <v>1</v>
      </c>
      <c r="Q167" s="18" t="s">
        <v>8</v>
      </c>
      <c r="R167" s="18" t="s">
        <v>8</v>
      </c>
      <c r="S167" s="51" t="s">
        <v>9</v>
      </c>
      <c r="T167" s="97" t="s">
        <v>9</v>
      </c>
      <c r="V167" s="31">
        <v>4.9000000000000004</v>
      </c>
      <c r="W167" s="18">
        <v>3.1</v>
      </c>
      <c r="X167" s="18">
        <v>1.5</v>
      </c>
      <c r="Y167" s="18">
        <v>0.1</v>
      </c>
      <c r="Z167" s="18" t="s">
        <v>0</v>
      </c>
      <c r="AA167" s="18" t="s">
        <v>8</v>
      </c>
      <c r="AB167" s="18" t="s">
        <v>9</v>
      </c>
      <c r="AC167" s="51" t="s">
        <v>8</v>
      </c>
      <c r="AD167" s="97" t="s">
        <v>8</v>
      </c>
    </row>
    <row r="168" spans="2:30">
      <c r="B168" s="31">
        <v>7.3</v>
      </c>
      <c r="C168" s="18">
        <v>2.9</v>
      </c>
      <c r="D168" s="18">
        <v>6.3</v>
      </c>
      <c r="E168" s="18">
        <v>1.8</v>
      </c>
      <c r="F168" s="18" t="s">
        <v>2</v>
      </c>
      <c r="G168" s="18" t="s">
        <v>10</v>
      </c>
      <c r="H168" s="18" t="s">
        <v>8</v>
      </c>
      <c r="I168" s="51" t="s">
        <v>10</v>
      </c>
      <c r="J168" s="97" t="s">
        <v>10</v>
      </c>
      <c r="L168" s="31">
        <v>5.9</v>
      </c>
      <c r="M168" s="18">
        <v>3</v>
      </c>
      <c r="N168" s="18">
        <v>4.2</v>
      </c>
      <c r="O168" s="18">
        <v>1.5</v>
      </c>
      <c r="P168" s="18" t="s">
        <v>1</v>
      </c>
      <c r="Q168" s="18" t="s">
        <v>9</v>
      </c>
      <c r="R168" s="18" t="s">
        <v>9</v>
      </c>
      <c r="S168" s="51" t="s">
        <v>9</v>
      </c>
      <c r="T168" s="97" t="s">
        <v>9</v>
      </c>
      <c r="V168" s="29">
        <v>5.4</v>
      </c>
      <c r="W168" s="22">
        <v>3.7</v>
      </c>
      <c r="X168" s="22">
        <v>1.5</v>
      </c>
      <c r="Y168" s="22">
        <v>0.2</v>
      </c>
      <c r="Z168" s="22" t="s">
        <v>0</v>
      </c>
      <c r="AA168" s="18" t="s">
        <v>8</v>
      </c>
      <c r="AB168" s="18" t="s">
        <v>10</v>
      </c>
      <c r="AC168" s="51" t="s">
        <v>8</v>
      </c>
      <c r="AD168" s="97" t="s">
        <v>8</v>
      </c>
    </row>
    <row r="169" spans="2:30">
      <c r="B169" s="29">
        <v>6.7</v>
      </c>
      <c r="C169" s="22">
        <v>2.5</v>
      </c>
      <c r="D169" s="22">
        <v>5.8</v>
      </c>
      <c r="E169" s="22">
        <v>1.8</v>
      </c>
      <c r="F169" s="22" t="s">
        <v>2</v>
      </c>
      <c r="G169" s="18" t="s">
        <v>10</v>
      </c>
      <c r="H169" s="18" t="s">
        <v>8</v>
      </c>
      <c r="I169" s="51" t="s">
        <v>10</v>
      </c>
      <c r="J169" s="97" t="s">
        <v>10</v>
      </c>
      <c r="L169" s="29">
        <v>6</v>
      </c>
      <c r="M169" s="22">
        <v>2.2000000000000002</v>
      </c>
      <c r="N169" s="22">
        <v>4</v>
      </c>
      <c r="O169" s="22">
        <v>1</v>
      </c>
      <c r="P169" s="22" t="s">
        <v>1</v>
      </c>
      <c r="Q169" s="18" t="s">
        <v>9</v>
      </c>
      <c r="R169" s="18" t="s">
        <v>8</v>
      </c>
      <c r="S169" s="51" t="s">
        <v>9</v>
      </c>
      <c r="T169" s="97" t="s">
        <v>9</v>
      </c>
      <c r="V169" s="31">
        <v>4.8</v>
      </c>
      <c r="W169" s="18">
        <v>3.4</v>
      </c>
      <c r="X169" s="18">
        <v>1.6</v>
      </c>
      <c r="Y169" s="18">
        <v>0.2</v>
      </c>
      <c r="Z169" s="18" t="s">
        <v>0</v>
      </c>
      <c r="AA169" s="18" t="s">
        <v>8</v>
      </c>
      <c r="AB169" s="18" t="s">
        <v>9</v>
      </c>
      <c r="AC169" s="51" t="s">
        <v>8</v>
      </c>
      <c r="AD169" s="97" t="s">
        <v>8</v>
      </c>
    </row>
    <row r="170" spans="2:30">
      <c r="B170" s="31">
        <v>7.2</v>
      </c>
      <c r="C170" s="18">
        <v>3.6</v>
      </c>
      <c r="D170" s="18">
        <v>6.1</v>
      </c>
      <c r="E170" s="18">
        <v>2.5</v>
      </c>
      <c r="F170" s="18" t="s">
        <v>2</v>
      </c>
      <c r="G170" s="18" t="s">
        <v>10</v>
      </c>
      <c r="H170" s="18" t="s">
        <v>10</v>
      </c>
      <c r="I170" s="51" t="s">
        <v>10</v>
      </c>
      <c r="J170" s="97" t="s">
        <v>10</v>
      </c>
      <c r="L170" s="31">
        <v>6.1</v>
      </c>
      <c r="M170" s="18">
        <v>2.9</v>
      </c>
      <c r="N170" s="18">
        <v>4.7</v>
      </c>
      <c r="O170" s="18">
        <v>1.4</v>
      </c>
      <c r="P170" s="18" t="s">
        <v>1</v>
      </c>
      <c r="Q170" s="18" t="s">
        <v>9</v>
      </c>
      <c r="R170" s="18" t="s">
        <v>8</v>
      </c>
      <c r="S170" s="51" t="s">
        <v>9</v>
      </c>
      <c r="T170" s="97" t="s">
        <v>9</v>
      </c>
      <c r="V170" s="29">
        <v>4.8</v>
      </c>
      <c r="W170" s="22">
        <v>3</v>
      </c>
      <c r="X170" s="22">
        <v>1.4</v>
      </c>
      <c r="Y170" s="22">
        <v>0.1</v>
      </c>
      <c r="Z170" s="22" t="s">
        <v>0</v>
      </c>
      <c r="AA170" s="18" t="s">
        <v>8</v>
      </c>
      <c r="AB170" s="18" t="s">
        <v>9</v>
      </c>
      <c r="AC170" s="51" t="s">
        <v>8</v>
      </c>
      <c r="AD170" s="97" t="s">
        <v>8</v>
      </c>
    </row>
    <row r="171" spans="2:30">
      <c r="B171" s="29">
        <v>6.5</v>
      </c>
      <c r="C171" s="22">
        <v>3.2</v>
      </c>
      <c r="D171" s="22">
        <v>5.0999999999999996</v>
      </c>
      <c r="E171" s="22">
        <v>2</v>
      </c>
      <c r="F171" s="22" t="s">
        <v>2</v>
      </c>
      <c r="G171" s="18" t="s">
        <v>9</v>
      </c>
      <c r="H171" s="18" t="s">
        <v>9</v>
      </c>
      <c r="I171" s="51" t="s">
        <v>10</v>
      </c>
      <c r="J171" s="97" t="s">
        <v>10</v>
      </c>
      <c r="L171" s="29">
        <v>5.6</v>
      </c>
      <c r="M171" s="22">
        <v>2.9</v>
      </c>
      <c r="N171" s="22">
        <v>3.6</v>
      </c>
      <c r="O171" s="22">
        <v>1.3</v>
      </c>
      <c r="P171" s="22" t="s">
        <v>1</v>
      </c>
      <c r="Q171" s="18" t="s">
        <v>9</v>
      </c>
      <c r="R171" s="18" t="s">
        <v>8</v>
      </c>
      <c r="S171" s="51" t="s">
        <v>9</v>
      </c>
      <c r="T171" s="97" t="s">
        <v>9</v>
      </c>
      <c r="V171" s="31">
        <v>4.3</v>
      </c>
      <c r="W171" s="18">
        <v>3</v>
      </c>
      <c r="X171" s="18">
        <v>1.1000000000000001</v>
      </c>
      <c r="Y171" s="18">
        <v>0.1</v>
      </c>
      <c r="Z171" s="18" t="s">
        <v>0</v>
      </c>
      <c r="AA171" s="18" t="s">
        <v>8</v>
      </c>
      <c r="AB171" s="18" t="s">
        <v>9</v>
      </c>
      <c r="AC171" s="51" t="s">
        <v>8</v>
      </c>
      <c r="AD171" s="97" t="s">
        <v>8</v>
      </c>
    </row>
    <row r="172" spans="2:30">
      <c r="B172" s="31">
        <v>6.4</v>
      </c>
      <c r="C172" s="18">
        <v>2.7</v>
      </c>
      <c r="D172" s="18">
        <v>5.3</v>
      </c>
      <c r="E172" s="18">
        <v>1.9</v>
      </c>
      <c r="F172" s="18" t="s">
        <v>2</v>
      </c>
      <c r="G172" s="18" t="s">
        <v>9</v>
      </c>
      <c r="H172" s="18" t="s">
        <v>8</v>
      </c>
      <c r="I172" s="51" t="s">
        <v>10</v>
      </c>
      <c r="J172" s="97" t="s">
        <v>10</v>
      </c>
      <c r="L172" s="31">
        <v>6.7</v>
      </c>
      <c r="M172" s="18">
        <v>3.1</v>
      </c>
      <c r="N172" s="18">
        <v>4.4000000000000004</v>
      </c>
      <c r="O172" s="18">
        <v>1.4</v>
      </c>
      <c r="P172" s="18" t="s">
        <v>1</v>
      </c>
      <c r="Q172" s="18" t="s">
        <v>10</v>
      </c>
      <c r="R172" s="18" t="s">
        <v>9</v>
      </c>
      <c r="S172" s="51" t="s">
        <v>9</v>
      </c>
      <c r="T172" s="97" t="s">
        <v>9</v>
      </c>
      <c r="V172" s="29">
        <v>5.8</v>
      </c>
      <c r="W172" s="22">
        <v>4</v>
      </c>
      <c r="X172" s="22">
        <v>1.2</v>
      </c>
      <c r="Y172" s="22">
        <v>0.2</v>
      </c>
      <c r="Z172" s="22" t="s">
        <v>0</v>
      </c>
      <c r="AA172" s="18" t="s">
        <v>9</v>
      </c>
      <c r="AB172" s="18" t="s">
        <v>10</v>
      </c>
      <c r="AC172" s="51" t="s">
        <v>8</v>
      </c>
      <c r="AD172" s="97" t="s">
        <v>8</v>
      </c>
    </row>
    <row r="173" spans="2:30">
      <c r="B173" s="29">
        <v>6.8</v>
      </c>
      <c r="C173" s="22">
        <v>3</v>
      </c>
      <c r="D173" s="22">
        <v>5.5</v>
      </c>
      <c r="E173" s="22">
        <v>2.1</v>
      </c>
      <c r="F173" s="22" t="s">
        <v>2</v>
      </c>
      <c r="G173" s="18" t="s">
        <v>10</v>
      </c>
      <c r="H173" s="18" t="s">
        <v>9</v>
      </c>
      <c r="I173" s="51" t="s">
        <v>10</v>
      </c>
      <c r="J173" s="97" t="s">
        <v>10</v>
      </c>
      <c r="L173" s="29">
        <v>5.6</v>
      </c>
      <c r="M173" s="22">
        <v>3</v>
      </c>
      <c r="N173" s="22">
        <v>4.5</v>
      </c>
      <c r="O173" s="22">
        <v>1.5</v>
      </c>
      <c r="P173" s="22" t="s">
        <v>1</v>
      </c>
      <c r="Q173" s="18" t="s">
        <v>9</v>
      </c>
      <c r="R173" s="18" t="s">
        <v>9</v>
      </c>
      <c r="S173" s="51" t="s">
        <v>9</v>
      </c>
      <c r="T173" s="97" t="s">
        <v>9</v>
      </c>
      <c r="V173" s="31">
        <v>5.7</v>
      </c>
      <c r="W173" s="18">
        <v>4.4000000000000004</v>
      </c>
      <c r="X173" s="18">
        <v>1.5</v>
      </c>
      <c r="Y173" s="18">
        <v>0.4</v>
      </c>
      <c r="Z173" s="18" t="s">
        <v>0</v>
      </c>
      <c r="AA173" s="18" t="s">
        <v>9</v>
      </c>
      <c r="AB173" s="18" t="s">
        <v>10</v>
      </c>
      <c r="AC173" s="51" t="s">
        <v>8</v>
      </c>
      <c r="AD173" s="97" t="s">
        <v>8</v>
      </c>
    </row>
    <row r="174" spans="2:30">
      <c r="B174" s="31">
        <v>5.7</v>
      </c>
      <c r="C174" s="18">
        <v>2.5</v>
      </c>
      <c r="D174" s="18">
        <v>5</v>
      </c>
      <c r="E174" s="18">
        <v>2</v>
      </c>
      <c r="F174" s="18" t="s">
        <v>2</v>
      </c>
      <c r="G174" s="18" t="s">
        <v>9</v>
      </c>
      <c r="H174" s="18" t="s">
        <v>8</v>
      </c>
      <c r="I174" s="51" t="s">
        <v>10</v>
      </c>
      <c r="J174" s="97" t="s">
        <v>10</v>
      </c>
      <c r="L174" s="31">
        <v>5.8</v>
      </c>
      <c r="M174" s="18">
        <v>2.7</v>
      </c>
      <c r="N174" s="18">
        <v>4.0999999999999996</v>
      </c>
      <c r="O174" s="18">
        <v>1</v>
      </c>
      <c r="P174" s="18" t="s">
        <v>1</v>
      </c>
      <c r="Q174" s="18" t="s">
        <v>9</v>
      </c>
      <c r="R174" s="18" t="s">
        <v>8</v>
      </c>
      <c r="S174" s="51" t="s">
        <v>9</v>
      </c>
      <c r="T174" s="97" t="s">
        <v>9</v>
      </c>
      <c r="V174" s="29">
        <v>5.4</v>
      </c>
      <c r="W174" s="22">
        <v>3.9</v>
      </c>
      <c r="X174" s="22">
        <v>1.3</v>
      </c>
      <c r="Y174" s="22">
        <v>0.4</v>
      </c>
      <c r="Z174" s="22" t="s">
        <v>0</v>
      </c>
      <c r="AA174" s="18" t="s">
        <v>8</v>
      </c>
      <c r="AB174" s="18" t="s">
        <v>10</v>
      </c>
      <c r="AC174" s="51" t="s">
        <v>8</v>
      </c>
      <c r="AD174" s="97" t="s">
        <v>8</v>
      </c>
    </row>
    <row r="175" spans="2:30">
      <c r="B175" s="29">
        <v>5.8</v>
      </c>
      <c r="C175" s="22">
        <v>2.8</v>
      </c>
      <c r="D175" s="22">
        <v>5.0999999999999996</v>
      </c>
      <c r="E175" s="22">
        <v>2.4</v>
      </c>
      <c r="F175" s="22" t="s">
        <v>2</v>
      </c>
      <c r="G175" s="18" t="s">
        <v>9</v>
      </c>
      <c r="H175" s="18" t="s">
        <v>8</v>
      </c>
      <c r="I175" s="51" t="s">
        <v>10</v>
      </c>
      <c r="J175" s="97" t="s">
        <v>10</v>
      </c>
      <c r="L175" s="29">
        <v>6.2</v>
      </c>
      <c r="M175" s="22">
        <v>2.2000000000000002</v>
      </c>
      <c r="N175" s="22">
        <v>4.5</v>
      </c>
      <c r="O175" s="22">
        <v>1.5</v>
      </c>
      <c r="P175" s="22" t="s">
        <v>1</v>
      </c>
      <c r="Q175" s="18" t="s">
        <v>9</v>
      </c>
      <c r="R175" s="18" t="s">
        <v>8</v>
      </c>
      <c r="S175" s="51" t="s">
        <v>9</v>
      </c>
      <c r="T175" s="97" t="s">
        <v>9</v>
      </c>
      <c r="V175" s="31">
        <v>5.0999999999999996</v>
      </c>
      <c r="W175" s="18">
        <v>3.5</v>
      </c>
      <c r="X175" s="18">
        <v>1.4</v>
      </c>
      <c r="Y175" s="18">
        <v>0.3</v>
      </c>
      <c r="Z175" s="18" t="s">
        <v>0</v>
      </c>
      <c r="AA175" s="18" t="s">
        <v>8</v>
      </c>
      <c r="AB175" s="18" t="s">
        <v>9</v>
      </c>
      <c r="AC175" s="51" t="s">
        <v>8</v>
      </c>
      <c r="AD175" s="97" t="s">
        <v>8</v>
      </c>
    </row>
    <row r="176" spans="2:30">
      <c r="B176" s="31">
        <v>6.4</v>
      </c>
      <c r="C176" s="18">
        <v>3.2</v>
      </c>
      <c r="D176" s="18">
        <v>5.3</v>
      </c>
      <c r="E176" s="18">
        <v>2.2999999999999998</v>
      </c>
      <c r="F176" s="18" t="s">
        <v>2</v>
      </c>
      <c r="G176" s="18" t="s">
        <v>9</v>
      </c>
      <c r="H176" s="18" t="s">
        <v>9</v>
      </c>
      <c r="I176" s="51" t="s">
        <v>10</v>
      </c>
      <c r="J176" s="97" t="s">
        <v>10</v>
      </c>
      <c r="L176" s="31">
        <v>5.6</v>
      </c>
      <c r="M176" s="18">
        <v>2.5</v>
      </c>
      <c r="N176" s="18">
        <v>3.9</v>
      </c>
      <c r="O176" s="18">
        <v>1.1000000000000001</v>
      </c>
      <c r="P176" s="18" t="s">
        <v>1</v>
      </c>
      <c r="Q176" s="18" t="s">
        <v>9</v>
      </c>
      <c r="R176" s="18" t="s">
        <v>8</v>
      </c>
      <c r="S176" s="51" t="s">
        <v>9</v>
      </c>
      <c r="T176" s="97" t="s">
        <v>9</v>
      </c>
      <c r="V176" s="29">
        <v>5.7</v>
      </c>
      <c r="W176" s="22">
        <v>3.8</v>
      </c>
      <c r="X176" s="22">
        <v>1.7</v>
      </c>
      <c r="Y176" s="22">
        <v>0.3</v>
      </c>
      <c r="Z176" s="22" t="s">
        <v>0</v>
      </c>
      <c r="AA176" s="18" t="s">
        <v>9</v>
      </c>
      <c r="AB176" s="18" t="s">
        <v>10</v>
      </c>
      <c r="AC176" s="51" t="s">
        <v>8</v>
      </c>
      <c r="AD176" s="97" t="s">
        <v>8</v>
      </c>
    </row>
    <row r="177" spans="2:30">
      <c r="B177" s="29">
        <v>6.5</v>
      </c>
      <c r="C177" s="22">
        <v>3</v>
      </c>
      <c r="D177" s="22">
        <v>5.5</v>
      </c>
      <c r="E177" s="22">
        <v>1.8</v>
      </c>
      <c r="F177" s="22" t="s">
        <v>2</v>
      </c>
      <c r="G177" s="18" t="s">
        <v>9</v>
      </c>
      <c r="H177" s="18" t="s">
        <v>9</v>
      </c>
      <c r="I177" s="51" t="s">
        <v>10</v>
      </c>
      <c r="J177" s="97" t="s">
        <v>10</v>
      </c>
      <c r="L177" s="29">
        <v>5.9</v>
      </c>
      <c r="M177" s="22">
        <v>3.2</v>
      </c>
      <c r="N177" s="22">
        <v>4.8</v>
      </c>
      <c r="O177" s="22">
        <v>1.8</v>
      </c>
      <c r="P177" s="22" t="s">
        <v>1</v>
      </c>
      <c r="Q177" s="18" t="s">
        <v>9</v>
      </c>
      <c r="R177" s="18" t="s">
        <v>9</v>
      </c>
      <c r="S177" s="51" t="s">
        <v>9</v>
      </c>
      <c r="T177" s="97" t="s">
        <v>10</v>
      </c>
      <c r="V177" s="31">
        <v>5.0999999999999996</v>
      </c>
      <c r="W177" s="18">
        <v>3.8</v>
      </c>
      <c r="X177" s="18">
        <v>1.5</v>
      </c>
      <c r="Y177" s="18">
        <v>0.3</v>
      </c>
      <c r="Z177" s="18" t="s">
        <v>0</v>
      </c>
      <c r="AA177" s="18" t="s">
        <v>8</v>
      </c>
      <c r="AB177" s="18" t="s">
        <v>10</v>
      </c>
      <c r="AC177" s="51" t="s">
        <v>8</v>
      </c>
      <c r="AD177" s="97" t="s">
        <v>8</v>
      </c>
    </row>
    <row r="178" spans="2:30">
      <c r="B178" s="31">
        <v>7.7</v>
      </c>
      <c r="C178" s="18">
        <v>3.8</v>
      </c>
      <c r="D178" s="18">
        <v>6.7</v>
      </c>
      <c r="E178" s="18">
        <v>2.2000000000000002</v>
      </c>
      <c r="F178" s="18" t="s">
        <v>2</v>
      </c>
      <c r="G178" s="18" t="s">
        <v>10</v>
      </c>
      <c r="H178" s="18" t="s">
        <v>10</v>
      </c>
      <c r="I178" s="51" t="s">
        <v>10</v>
      </c>
      <c r="J178" s="97" t="s">
        <v>10</v>
      </c>
      <c r="L178" s="31">
        <v>6.1</v>
      </c>
      <c r="M178" s="18">
        <v>2.8</v>
      </c>
      <c r="N178" s="18">
        <v>4</v>
      </c>
      <c r="O178" s="18">
        <v>1.3</v>
      </c>
      <c r="P178" s="18" t="s">
        <v>1</v>
      </c>
      <c r="Q178" s="18" t="s">
        <v>9</v>
      </c>
      <c r="R178" s="18" t="s">
        <v>8</v>
      </c>
      <c r="S178" s="51" t="s">
        <v>9</v>
      </c>
      <c r="T178" s="97" t="s">
        <v>9</v>
      </c>
      <c r="V178" s="29">
        <v>5.4</v>
      </c>
      <c r="W178" s="22">
        <v>3.4</v>
      </c>
      <c r="X178" s="22">
        <v>1.7</v>
      </c>
      <c r="Y178" s="22">
        <v>0.2</v>
      </c>
      <c r="Z178" s="22" t="s">
        <v>0</v>
      </c>
      <c r="AA178" s="18" t="s">
        <v>8</v>
      </c>
      <c r="AB178" s="18" t="s">
        <v>9</v>
      </c>
      <c r="AC178" s="51" t="s">
        <v>8</v>
      </c>
      <c r="AD178" s="97" t="s">
        <v>8</v>
      </c>
    </row>
    <row r="179" spans="2:30">
      <c r="B179" s="29">
        <v>7.7</v>
      </c>
      <c r="C179" s="22">
        <v>2.6</v>
      </c>
      <c r="D179" s="22">
        <v>6.9</v>
      </c>
      <c r="E179" s="22">
        <v>2.2999999999999998</v>
      </c>
      <c r="F179" s="22" t="s">
        <v>2</v>
      </c>
      <c r="G179" s="18" t="s">
        <v>10</v>
      </c>
      <c r="H179" s="18" t="s">
        <v>8</v>
      </c>
      <c r="I179" s="51" t="s">
        <v>10</v>
      </c>
      <c r="J179" s="97" t="s">
        <v>10</v>
      </c>
      <c r="L179" s="31">
        <v>6.1</v>
      </c>
      <c r="M179" s="18">
        <v>2.8</v>
      </c>
      <c r="N179" s="18">
        <v>4.7</v>
      </c>
      <c r="O179" s="18">
        <v>1.2</v>
      </c>
      <c r="P179" s="18" t="s">
        <v>1</v>
      </c>
      <c r="Q179" s="18" t="s">
        <v>9</v>
      </c>
      <c r="R179" s="18" t="s">
        <v>8</v>
      </c>
      <c r="S179" s="51" t="s">
        <v>9</v>
      </c>
      <c r="T179" s="97" t="s">
        <v>9</v>
      </c>
      <c r="V179" s="31">
        <v>5.0999999999999996</v>
      </c>
      <c r="W179" s="18">
        <v>3.7</v>
      </c>
      <c r="X179" s="18">
        <v>1.5</v>
      </c>
      <c r="Y179" s="18">
        <v>0.4</v>
      </c>
      <c r="Z179" s="18" t="s">
        <v>0</v>
      </c>
      <c r="AA179" s="18" t="s">
        <v>8</v>
      </c>
      <c r="AB179" s="18" t="s">
        <v>10</v>
      </c>
      <c r="AC179" s="51" t="s">
        <v>8</v>
      </c>
      <c r="AD179" s="97" t="s">
        <v>8</v>
      </c>
    </row>
    <row r="180" spans="2:30">
      <c r="B180" s="31">
        <v>6</v>
      </c>
      <c r="C180" s="18">
        <v>2.2000000000000002</v>
      </c>
      <c r="D180" s="18">
        <v>5</v>
      </c>
      <c r="E180" s="18">
        <v>1.5</v>
      </c>
      <c r="F180" s="18" t="s">
        <v>2</v>
      </c>
      <c r="G180" s="18" t="s">
        <v>9</v>
      </c>
      <c r="H180" s="18" t="s">
        <v>8</v>
      </c>
      <c r="I180" s="51" t="s">
        <v>10</v>
      </c>
      <c r="J180" s="97" t="s">
        <v>9</v>
      </c>
      <c r="L180" s="29">
        <v>6.4</v>
      </c>
      <c r="M180" s="22">
        <v>2.9</v>
      </c>
      <c r="N180" s="22">
        <v>4.3</v>
      </c>
      <c r="O180" s="22">
        <v>1.3</v>
      </c>
      <c r="P180" s="22" t="s">
        <v>1</v>
      </c>
      <c r="Q180" s="18" t="s">
        <v>9</v>
      </c>
      <c r="R180" s="18" t="s">
        <v>8</v>
      </c>
      <c r="S180" s="51" t="s">
        <v>9</v>
      </c>
      <c r="T180" s="97" t="s">
        <v>9</v>
      </c>
      <c r="V180" s="29">
        <v>4.5999999999999996</v>
      </c>
      <c r="W180" s="22">
        <v>3.6</v>
      </c>
      <c r="X180" s="22">
        <v>1</v>
      </c>
      <c r="Y180" s="22">
        <v>0.2</v>
      </c>
      <c r="Z180" s="22" t="s">
        <v>0</v>
      </c>
      <c r="AA180" s="18" t="s">
        <v>8</v>
      </c>
      <c r="AB180" s="18" t="s">
        <v>10</v>
      </c>
      <c r="AC180" s="51" t="s">
        <v>8</v>
      </c>
      <c r="AD180" s="97" t="s">
        <v>8</v>
      </c>
    </row>
    <row r="181" spans="2:30">
      <c r="B181" s="29">
        <v>6.9</v>
      </c>
      <c r="C181" s="22">
        <v>3.2</v>
      </c>
      <c r="D181" s="22">
        <v>5.7</v>
      </c>
      <c r="E181" s="22">
        <v>2.2999999999999998</v>
      </c>
      <c r="F181" s="22" t="s">
        <v>2</v>
      </c>
      <c r="G181" s="18" t="s">
        <v>10</v>
      </c>
      <c r="H181" s="18" t="s">
        <v>9</v>
      </c>
      <c r="I181" s="51" t="s">
        <v>10</v>
      </c>
      <c r="J181" s="97" t="s">
        <v>10</v>
      </c>
      <c r="L181" s="31">
        <v>6.6</v>
      </c>
      <c r="M181" s="18">
        <v>3</v>
      </c>
      <c r="N181" s="18">
        <v>4.4000000000000004</v>
      </c>
      <c r="O181" s="18">
        <v>1.4</v>
      </c>
      <c r="P181" s="18" t="s">
        <v>1</v>
      </c>
      <c r="Q181" s="18" t="s">
        <v>10</v>
      </c>
      <c r="R181" s="18" t="s">
        <v>9</v>
      </c>
      <c r="S181" s="51" t="s">
        <v>9</v>
      </c>
      <c r="T181" s="97" t="s">
        <v>9</v>
      </c>
      <c r="V181" s="31">
        <v>5.0999999999999996</v>
      </c>
      <c r="W181" s="18">
        <v>3.3</v>
      </c>
      <c r="X181" s="18">
        <v>1.7</v>
      </c>
      <c r="Y181" s="18">
        <v>0.5</v>
      </c>
      <c r="Z181" s="18" t="s">
        <v>0</v>
      </c>
      <c r="AA181" s="18" t="s">
        <v>8</v>
      </c>
      <c r="AB181" s="18" t="s">
        <v>9</v>
      </c>
      <c r="AC181" s="51" t="s">
        <v>8</v>
      </c>
      <c r="AD181" s="97" t="s">
        <v>8</v>
      </c>
    </row>
    <row r="182" spans="2:30">
      <c r="B182" s="31">
        <v>5.6</v>
      </c>
      <c r="C182" s="18">
        <v>2.8</v>
      </c>
      <c r="D182" s="18">
        <v>4.9000000000000004</v>
      </c>
      <c r="E182" s="18">
        <v>2</v>
      </c>
      <c r="F182" s="18" t="s">
        <v>2</v>
      </c>
      <c r="G182" s="18" t="s">
        <v>9</v>
      </c>
      <c r="H182" s="18" t="s">
        <v>8</v>
      </c>
      <c r="I182" s="51" t="s">
        <v>10</v>
      </c>
      <c r="J182" s="97" t="s">
        <v>10</v>
      </c>
      <c r="L182" s="29">
        <v>6.8</v>
      </c>
      <c r="M182" s="22">
        <v>2.8</v>
      </c>
      <c r="N182" s="22">
        <v>4.8</v>
      </c>
      <c r="O182" s="22">
        <v>1.4</v>
      </c>
      <c r="P182" s="22" t="s">
        <v>1</v>
      </c>
      <c r="Q182" s="18" t="s">
        <v>10</v>
      </c>
      <c r="R182" s="18" t="s">
        <v>8</v>
      </c>
      <c r="S182" s="51" t="s">
        <v>9</v>
      </c>
      <c r="T182" s="97" t="s">
        <v>9</v>
      </c>
      <c r="V182" s="29">
        <v>4.8</v>
      </c>
      <c r="W182" s="22">
        <v>3.4</v>
      </c>
      <c r="X182" s="22">
        <v>1.9</v>
      </c>
      <c r="Y182" s="22">
        <v>0.2</v>
      </c>
      <c r="Z182" s="22" t="s">
        <v>0</v>
      </c>
      <c r="AA182" s="18" t="s">
        <v>8</v>
      </c>
      <c r="AB182" s="18" t="s">
        <v>9</v>
      </c>
      <c r="AC182" s="51" t="s">
        <v>8</v>
      </c>
      <c r="AD182" s="97" t="s">
        <v>8</v>
      </c>
    </row>
    <row r="183" spans="2:30">
      <c r="B183" s="29">
        <v>7.7</v>
      </c>
      <c r="C183" s="22">
        <v>2.8</v>
      </c>
      <c r="D183" s="22">
        <v>6.7</v>
      </c>
      <c r="E183" s="22">
        <v>2</v>
      </c>
      <c r="F183" s="22" t="s">
        <v>2</v>
      </c>
      <c r="G183" s="18" t="s">
        <v>10</v>
      </c>
      <c r="H183" s="18" t="s">
        <v>8</v>
      </c>
      <c r="I183" s="51" t="s">
        <v>10</v>
      </c>
      <c r="J183" s="97" t="s">
        <v>10</v>
      </c>
      <c r="L183" s="29">
        <v>6</v>
      </c>
      <c r="M183" s="22">
        <v>2.9</v>
      </c>
      <c r="N183" s="22">
        <v>4.5</v>
      </c>
      <c r="O183" s="22">
        <v>1.5</v>
      </c>
      <c r="P183" s="22" t="s">
        <v>1</v>
      </c>
      <c r="Q183" s="18" t="s">
        <v>9</v>
      </c>
      <c r="R183" s="18" t="s">
        <v>8</v>
      </c>
      <c r="S183" s="51" t="s">
        <v>9</v>
      </c>
      <c r="T183" s="97" t="s">
        <v>9</v>
      </c>
      <c r="V183" s="31">
        <v>5</v>
      </c>
      <c r="W183" s="18">
        <v>3</v>
      </c>
      <c r="X183" s="18">
        <v>1.6</v>
      </c>
      <c r="Y183" s="18">
        <v>0.2</v>
      </c>
      <c r="Z183" s="18" t="s">
        <v>0</v>
      </c>
      <c r="AA183" s="18" t="s">
        <v>8</v>
      </c>
      <c r="AB183" s="18" t="s">
        <v>9</v>
      </c>
      <c r="AC183" s="51" t="s">
        <v>8</v>
      </c>
      <c r="AD183" s="97" t="s">
        <v>8</v>
      </c>
    </row>
    <row r="184" spans="2:30">
      <c r="B184" s="31">
        <v>6.3</v>
      </c>
      <c r="C184" s="18">
        <v>2.7</v>
      </c>
      <c r="D184" s="18">
        <v>4.9000000000000004</v>
      </c>
      <c r="E184" s="18">
        <v>1.8</v>
      </c>
      <c r="F184" s="18" t="s">
        <v>2</v>
      </c>
      <c r="G184" s="18" t="s">
        <v>9</v>
      </c>
      <c r="H184" s="18" t="s">
        <v>8</v>
      </c>
      <c r="I184" s="51" t="s">
        <v>10</v>
      </c>
      <c r="J184" s="97" t="s">
        <v>10</v>
      </c>
      <c r="L184" s="31">
        <v>5.7</v>
      </c>
      <c r="M184" s="18">
        <v>2.6</v>
      </c>
      <c r="N184" s="18">
        <v>3.5</v>
      </c>
      <c r="O184" s="18">
        <v>1</v>
      </c>
      <c r="P184" s="18" t="s">
        <v>1</v>
      </c>
      <c r="Q184" s="18" t="s">
        <v>9</v>
      </c>
      <c r="R184" s="18" t="s">
        <v>8</v>
      </c>
      <c r="S184" s="51" t="s">
        <v>9</v>
      </c>
      <c r="T184" s="97" t="s">
        <v>9</v>
      </c>
      <c r="V184" s="29">
        <v>5</v>
      </c>
      <c r="W184" s="22">
        <v>3.4</v>
      </c>
      <c r="X184" s="22">
        <v>1.6</v>
      </c>
      <c r="Y184" s="22">
        <v>0.4</v>
      </c>
      <c r="Z184" s="22" t="s">
        <v>0</v>
      </c>
      <c r="AA184" s="18" t="s">
        <v>8</v>
      </c>
      <c r="AB184" s="18" t="s">
        <v>9</v>
      </c>
      <c r="AC184" s="51" t="s">
        <v>8</v>
      </c>
      <c r="AD184" s="97" t="s">
        <v>8</v>
      </c>
    </row>
    <row r="185" spans="2:30">
      <c r="B185" s="29">
        <v>6.7</v>
      </c>
      <c r="C185" s="22">
        <v>3.3</v>
      </c>
      <c r="D185" s="22">
        <v>5.7</v>
      </c>
      <c r="E185" s="22">
        <v>2.1</v>
      </c>
      <c r="F185" s="22" t="s">
        <v>2</v>
      </c>
      <c r="G185" s="18" t="s">
        <v>10</v>
      </c>
      <c r="H185" s="18" t="s">
        <v>9</v>
      </c>
      <c r="I185" s="51" t="s">
        <v>10</v>
      </c>
      <c r="J185" s="97" t="s">
        <v>10</v>
      </c>
      <c r="L185" s="29">
        <v>5.5</v>
      </c>
      <c r="M185" s="22">
        <v>2.4</v>
      </c>
      <c r="N185" s="22">
        <v>3.8</v>
      </c>
      <c r="O185" s="22">
        <v>1.1000000000000001</v>
      </c>
      <c r="P185" s="22" t="s">
        <v>1</v>
      </c>
      <c r="Q185" s="18" t="s">
        <v>8</v>
      </c>
      <c r="R185" s="18" t="s">
        <v>8</v>
      </c>
      <c r="S185" s="51" t="s">
        <v>9</v>
      </c>
      <c r="T185" s="97" t="s">
        <v>9</v>
      </c>
      <c r="V185" s="31">
        <v>5.2</v>
      </c>
      <c r="W185" s="18">
        <v>3.5</v>
      </c>
      <c r="X185" s="18">
        <v>1.5</v>
      </c>
      <c r="Y185" s="18">
        <v>0.2</v>
      </c>
      <c r="Z185" s="18" t="s">
        <v>0</v>
      </c>
      <c r="AA185" s="18" t="s">
        <v>8</v>
      </c>
      <c r="AB185" s="18" t="s">
        <v>9</v>
      </c>
      <c r="AC185" s="51" t="s">
        <v>8</v>
      </c>
      <c r="AD185" s="97" t="s">
        <v>8</v>
      </c>
    </row>
    <row r="186" spans="2:30">
      <c r="B186" s="31">
        <v>7.2</v>
      </c>
      <c r="C186" s="18">
        <v>3.2</v>
      </c>
      <c r="D186" s="18">
        <v>6</v>
      </c>
      <c r="E186" s="18">
        <v>1.8</v>
      </c>
      <c r="F186" s="18" t="s">
        <v>2</v>
      </c>
      <c r="G186" s="18" t="s">
        <v>10</v>
      </c>
      <c r="H186" s="18" t="s">
        <v>9</v>
      </c>
      <c r="I186" s="51" t="s">
        <v>10</v>
      </c>
      <c r="J186" s="97" t="s">
        <v>10</v>
      </c>
      <c r="L186" s="31">
        <v>5.5</v>
      </c>
      <c r="M186" s="18">
        <v>2.4</v>
      </c>
      <c r="N186" s="18">
        <v>3.7</v>
      </c>
      <c r="O186" s="18">
        <v>1</v>
      </c>
      <c r="P186" s="18" t="s">
        <v>1</v>
      </c>
      <c r="Q186" s="18" t="s">
        <v>8</v>
      </c>
      <c r="R186" s="18" t="s">
        <v>8</v>
      </c>
      <c r="S186" s="51" t="s">
        <v>9</v>
      </c>
      <c r="T186" s="97" t="s">
        <v>9</v>
      </c>
      <c r="V186" s="29">
        <v>5.2</v>
      </c>
      <c r="W186" s="22">
        <v>3.4</v>
      </c>
      <c r="X186" s="22">
        <v>1.4</v>
      </c>
      <c r="Y186" s="22">
        <v>0.2</v>
      </c>
      <c r="Z186" s="22" t="s">
        <v>0</v>
      </c>
      <c r="AA186" s="18" t="s">
        <v>8</v>
      </c>
      <c r="AB186" s="18" t="s">
        <v>9</v>
      </c>
      <c r="AC186" s="51" t="s">
        <v>8</v>
      </c>
      <c r="AD186" s="97" t="s">
        <v>8</v>
      </c>
    </row>
    <row r="187" spans="2:30">
      <c r="B187" s="31">
        <v>6.1</v>
      </c>
      <c r="C187" s="18">
        <v>3</v>
      </c>
      <c r="D187" s="18">
        <v>4.9000000000000004</v>
      </c>
      <c r="E187" s="18">
        <v>1.8</v>
      </c>
      <c r="F187" s="18" t="s">
        <v>2</v>
      </c>
      <c r="G187" s="23" t="s">
        <v>9</v>
      </c>
      <c r="H187" s="23" t="s">
        <v>9</v>
      </c>
      <c r="I187" s="51" t="s">
        <v>10</v>
      </c>
      <c r="J187" s="97" t="s">
        <v>10</v>
      </c>
      <c r="L187" s="29">
        <v>5.8</v>
      </c>
      <c r="M187" s="22">
        <v>2.7</v>
      </c>
      <c r="N187" s="22">
        <v>3.9</v>
      </c>
      <c r="O187" s="22">
        <v>1.2</v>
      </c>
      <c r="P187" s="22" t="s">
        <v>1</v>
      </c>
      <c r="Q187" s="18" t="s">
        <v>9</v>
      </c>
      <c r="R187" s="18" t="s">
        <v>8</v>
      </c>
      <c r="S187" s="51" t="s">
        <v>9</v>
      </c>
      <c r="T187" s="97" t="s">
        <v>9</v>
      </c>
      <c r="V187" s="31">
        <v>4.7</v>
      </c>
      <c r="W187" s="18">
        <v>3.2</v>
      </c>
      <c r="X187" s="18">
        <v>1.6</v>
      </c>
      <c r="Y187" s="18">
        <v>0.2</v>
      </c>
      <c r="Z187" s="18" t="s">
        <v>0</v>
      </c>
      <c r="AA187" s="18" t="s">
        <v>8</v>
      </c>
      <c r="AB187" s="18" t="s">
        <v>9</v>
      </c>
      <c r="AC187" s="51" t="s">
        <v>8</v>
      </c>
      <c r="AD187" s="97" t="s">
        <v>8</v>
      </c>
    </row>
    <row r="188" spans="2:30">
      <c r="B188" s="31">
        <v>6.4</v>
      </c>
      <c r="C188" s="18">
        <v>2.8</v>
      </c>
      <c r="D188" s="18">
        <v>5.6</v>
      </c>
      <c r="E188" s="18">
        <v>2.1</v>
      </c>
      <c r="F188" s="18" t="s">
        <v>2</v>
      </c>
      <c r="G188" s="23" t="s">
        <v>9</v>
      </c>
      <c r="H188" s="23" t="s">
        <v>8</v>
      </c>
      <c r="I188" s="51" t="s">
        <v>10</v>
      </c>
      <c r="J188" s="97" t="s">
        <v>10</v>
      </c>
      <c r="L188" s="29">
        <v>5.4</v>
      </c>
      <c r="M188" s="22">
        <v>3</v>
      </c>
      <c r="N188" s="22">
        <v>4.5</v>
      </c>
      <c r="O188" s="22">
        <v>1.5</v>
      </c>
      <c r="P188" s="22" t="s">
        <v>1</v>
      </c>
      <c r="Q188" s="18" t="s">
        <v>8</v>
      </c>
      <c r="R188" s="18" t="s">
        <v>9</v>
      </c>
      <c r="S188" s="51" t="s">
        <v>9</v>
      </c>
      <c r="T188" s="97" t="s">
        <v>9</v>
      </c>
      <c r="V188" s="29">
        <v>4.8</v>
      </c>
      <c r="W188" s="22">
        <v>3.1</v>
      </c>
      <c r="X188" s="22">
        <v>1.6</v>
      </c>
      <c r="Y188" s="22">
        <v>0.2</v>
      </c>
      <c r="Z188" s="22" t="s">
        <v>0</v>
      </c>
      <c r="AA188" s="18" t="s">
        <v>8</v>
      </c>
      <c r="AB188" s="18" t="s">
        <v>9</v>
      </c>
      <c r="AC188" s="51" t="s">
        <v>8</v>
      </c>
      <c r="AD188" s="97" t="s">
        <v>8</v>
      </c>
    </row>
    <row r="189" spans="2:30">
      <c r="B189" s="31">
        <v>7.2</v>
      </c>
      <c r="C189" s="18">
        <v>3</v>
      </c>
      <c r="D189" s="18">
        <v>5.8</v>
      </c>
      <c r="E189" s="18">
        <v>1.6</v>
      </c>
      <c r="F189" s="18" t="s">
        <v>2</v>
      </c>
      <c r="G189" s="23" t="s">
        <v>10</v>
      </c>
      <c r="H189" s="23" t="s">
        <v>9</v>
      </c>
      <c r="I189" s="51" t="s">
        <v>10</v>
      </c>
      <c r="J189" s="97" t="s">
        <v>9</v>
      </c>
      <c r="L189" s="31">
        <v>6</v>
      </c>
      <c r="M189" s="18">
        <v>3.4</v>
      </c>
      <c r="N189" s="18">
        <v>4.5</v>
      </c>
      <c r="O189" s="18">
        <v>1.6</v>
      </c>
      <c r="P189" s="18" t="s">
        <v>1</v>
      </c>
      <c r="Q189" s="18" t="s">
        <v>9</v>
      </c>
      <c r="R189" s="18" t="s">
        <v>9</v>
      </c>
      <c r="S189" s="51" t="s">
        <v>9</v>
      </c>
      <c r="T189" s="97" t="s">
        <v>9</v>
      </c>
      <c r="V189" s="31">
        <v>5.4</v>
      </c>
      <c r="W189" s="18">
        <v>3.4</v>
      </c>
      <c r="X189" s="18">
        <v>1.5</v>
      </c>
      <c r="Y189" s="18">
        <v>0.4</v>
      </c>
      <c r="Z189" s="18" t="s">
        <v>0</v>
      </c>
      <c r="AA189" s="18" t="s">
        <v>8</v>
      </c>
      <c r="AB189" s="18" t="s">
        <v>9</v>
      </c>
      <c r="AC189" s="51" t="s">
        <v>8</v>
      </c>
      <c r="AD189" s="97" t="s">
        <v>8</v>
      </c>
    </row>
    <row r="190" spans="2:30">
      <c r="B190" s="31">
        <v>7.4</v>
      </c>
      <c r="C190" s="18">
        <v>2.8</v>
      </c>
      <c r="D190" s="18">
        <v>6.1</v>
      </c>
      <c r="E190" s="18">
        <v>1.9</v>
      </c>
      <c r="F190" s="18" t="s">
        <v>2</v>
      </c>
      <c r="G190" s="23" t="s">
        <v>10</v>
      </c>
      <c r="H190" s="23" t="s">
        <v>8</v>
      </c>
      <c r="I190" s="51" t="s">
        <v>10</v>
      </c>
      <c r="J190" s="97" t="s">
        <v>10</v>
      </c>
      <c r="L190" s="29">
        <v>6.7</v>
      </c>
      <c r="M190" s="22">
        <v>3.1</v>
      </c>
      <c r="N190" s="22">
        <v>4.7</v>
      </c>
      <c r="O190" s="22">
        <v>1.5</v>
      </c>
      <c r="P190" s="22" t="s">
        <v>1</v>
      </c>
      <c r="Q190" s="18" t="s">
        <v>10</v>
      </c>
      <c r="R190" s="18" t="s">
        <v>9</v>
      </c>
      <c r="S190" s="51" t="s">
        <v>9</v>
      </c>
      <c r="T190" s="97" t="s">
        <v>9</v>
      </c>
      <c r="V190" s="29">
        <v>5.2</v>
      </c>
      <c r="W190" s="22">
        <v>4.0999999999999996</v>
      </c>
      <c r="X190" s="22">
        <v>1.5</v>
      </c>
      <c r="Y190" s="22">
        <v>0.1</v>
      </c>
      <c r="Z190" s="22" t="s">
        <v>0</v>
      </c>
      <c r="AA190" s="18" t="s">
        <v>8</v>
      </c>
      <c r="AB190" s="18" t="s">
        <v>10</v>
      </c>
      <c r="AC190" s="51" t="s">
        <v>8</v>
      </c>
      <c r="AD190" s="97" t="s">
        <v>8</v>
      </c>
    </row>
    <row r="191" spans="2:30">
      <c r="B191" s="31">
        <v>7.9</v>
      </c>
      <c r="C191" s="18">
        <v>3.8</v>
      </c>
      <c r="D191" s="18">
        <v>6.4</v>
      </c>
      <c r="E191" s="18">
        <v>2</v>
      </c>
      <c r="F191" s="18" t="s">
        <v>2</v>
      </c>
      <c r="G191" s="23" t="s">
        <v>10</v>
      </c>
      <c r="H191" s="23" t="s">
        <v>10</v>
      </c>
      <c r="I191" s="51" t="s">
        <v>10</v>
      </c>
      <c r="J191" s="97" t="s">
        <v>10</v>
      </c>
      <c r="L191" s="31">
        <v>6.3</v>
      </c>
      <c r="M191" s="18">
        <v>2.2999999999999998</v>
      </c>
      <c r="N191" s="18">
        <v>4.4000000000000004</v>
      </c>
      <c r="O191" s="18">
        <v>1.3</v>
      </c>
      <c r="P191" s="18" t="s">
        <v>1</v>
      </c>
      <c r="Q191" s="18" t="s">
        <v>9</v>
      </c>
      <c r="R191" s="18" t="s">
        <v>8</v>
      </c>
      <c r="S191" s="51" t="s">
        <v>9</v>
      </c>
      <c r="T191" s="97" t="s">
        <v>9</v>
      </c>
      <c r="V191" s="31">
        <v>5.5</v>
      </c>
      <c r="W191" s="18">
        <v>4.2</v>
      </c>
      <c r="X191" s="18">
        <v>1.4</v>
      </c>
      <c r="Y191" s="18">
        <v>0.2</v>
      </c>
      <c r="Z191" s="18" t="s">
        <v>0</v>
      </c>
      <c r="AA191" s="18" t="s">
        <v>8</v>
      </c>
      <c r="AB191" s="18" t="s">
        <v>10</v>
      </c>
      <c r="AC191" s="51" t="s">
        <v>8</v>
      </c>
      <c r="AD191" s="97" t="s">
        <v>8</v>
      </c>
    </row>
    <row r="192" spans="2:30">
      <c r="B192" s="31">
        <v>6.4</v>
      </c>
      <c r="C192" s="18">
        <v>2.8</v>
      </c>
      <c r="D192" s="18">
        <v>5.6</v>
      </c>
      <c r="E192" s="18">
        <v>2.2000000000000002</v>
      </c>
      <c r="F192" s="18" t="s">
        <v>2</v>
      </c>
      <c r="G192" s="23" t="s">
        <v>9</v>
      </c>
      <c r="H192" s="23" t="s">
        <v>8</v>
      </c>
      <c r="I192" s="51" t="s">
        <v>10</v>
      </c>
      <c r="J192" s="97" t="s">
        <v>10</v>
      </c>
      <c r="L192" s="29">
        <v>5.6</v>
      </c>
      <c r="M192" s="22">
        <v>3</v>
      </c>
      <c r="N192" s="22">
        <v>4.0999999999999996</v>
      </c>
      <c r="O192" s="22">
        <v>1.3</v>
      </c>
      <c r="P192" s="22" t="s">
        <v>1</v>
      </c>
      <c r="Q192" s="18" t="s">
        <v>9</v>
      </c>
      <c r="R192" s="18" t="s">
        <v>9</v>
      </c>
      <c r="S192" s="51" t="s">
        <v>9</v>
      </c>
      <c r="T192" s="97" t="s">
        <v>9</v>
      </c>
      <c r="V192" s="29">
        <v>4.9000000000000004</v>
      </c>
      <c r="W192" s="22">
        <v>3.1</v>
      </c>
      <c r="X192" s="22">
        <v>1.5</v>
      </c>
      <c r="Y192" s="22">
        <v>0.1</v>
      </c>
      <c r="Z192" s="22" t="s">
        <v>0</v>
      </c>
      <c r="AA192" s="18" t="s">
        <v>8</v>
      </c>
      <c r="AB192" s="18" t="s">
        <v>9</v>
      </c>
      <c r="AC192" s="51" t="s">
        <v>8</v>
      </c>
      <c r="AD192" s="97" t="s">
        <v>8</v>
      </c>
    </row>
    <row r="193" spans="2:30">
      <c r="B193" s="31">
        <v>6.3</v>
      </c>
      <c r="C193" s="18">
        <v>2.8</v>
      </c>
      <c r="D193" s="18">
        <v>5.0999999999999996</v>
      </c>
      <c r="E193" s="18">
        <v>1.5</v>
      </c>
      <c r="F193" s="18" t="s">
        <v>2</v>
      </c>
      <c r="G193" s="23" t="s">
        <v>9</v>
      </c>
      <c r="H193" s="23" t="s">
        <v>8</v>
      </c>
      <c r="I193" s="51" t="s">
        <v>10</v>
      </c>
      <c r="J193" s="97" t="s">
        <v>9</v>
      </c>
      <c r="L193" s="31">
        <v>5.5</v>
      </c>
      <c r="M193" s="18">
        <v>2.5</v>
      </c>
      <c r="N193" s="18">
        <v>4</v>
      </c>
      <c r="O193" s="18">
        <v>1.3</v>
      </c>
      <c r="P193" s="18" t="s">
        <v>1</v>
      </c>
      <c r="Q193" s="18" t="s">
        <v>8</v>
      </c>
      <c r="R193" s="18" t="s">
        <v>8</v>
      </c>
      <c r="S193" s="51" t="s">
        <v>9</v>
      </c>
      <c r="T193" s="97" t="s">
        <v>9</v>
      </c>
      <c r="V193" s="31">
        <v>5</v>
      </c>
      <c r="W193" s="18">
        <v>3.2</v>
      </c>
      <c r="X193" s="18">
        <v>1.2</v>
      </c>
      <c r="Y193" s="18">
        <v>0.2</v>
      </c>
      <c r="Z193" s="18" t="s">
        <v>0</v>
      </c>
      <c r="AA193" s="18" t="s">
        <v>8</v>
      </c>
      <c r="AB193" s="18" t="s">
        <v>9</v>
      </c>
      <c r="AC193" s="51" t="s">
        <v>8</v>
      </c>
      <c r="AD193" s="97" t="s">
        <v>8</v>
      </c>
    </row>
    <row r="194" spans="2:30">
      <c r="B194" s="31">
        <v>6.1</v>
      </c>
      <c r="C194" s="18">
        <v>2.6</v>
      </c>
      <c r="D194" s="18">
        <v>5.6</v>
      </c>
      <c r="E194" s="18">
        <v>1.4</v>
      </c>
      <c r="F194" s="18" t="s">
        <v>2</v>
      </c>
      <c r="G194" s="23" t="s">
        <v>9</v>
      </c>
      <c r="H194" s="23" t="s">
        <v>8</v>
      </c>
      <c r="I194" s="51" t="s">
        <v>10</v>
      </c>
      <c r="J194" s="97" t="s">
        <v>9</v>
      </c>
      <c r="L194" s="29">
        <v>5.5</v>
      </c>
      <c r="M194" s="22">
        <v>2.6</v>
      </c>
      <c r="N194" s="22">
        <v>4.4000000000000004</v>
      </c>
      <c r="O194" s="22">
        <v>1.2</v>
      </c>
      <c r="P194" s="22" t="s">
        <v>1</v>
      </c>
      <c r="Q194" s="18" t="s">
        <v>8</v>
      </c>
      <c r="R194" s="18" t="s">
        <v>8</v>
      </c>
      <c r="S194" s="51" t="s">
        <v>9</v>
      </c>
      <c r="T194" s="97" t="s">
        <v>9</v>
      </c>
      <c r="V194" s="29">
        <v>5.5</v>
      </c>
      <c r="W194" s="22">
        <v>3.5</v>
      </c>
      <c r="X194" s="22">
        <v>1.3</v>
      </c>
      <c r="Y194" s="22">
        <v>0.2</v>
      </c>
      <c r="Z194" s="22" t="s">
        <v>0</v>
      </c>
      <c r="AA194" s="18" t="s">
        <v>8</v>
      </c>
      <c r="AB194" s="18" t="s">
        <v>9</v>
      </c>
      <c r="AC194" s="51" t="s">
        <v>8</v>
      </c>
      <c r="AD194" s="97" t="s">
        <v>8</v>
      </c>
    </row>
    <row r="195" spans="2:30">
      <c r="B195" s="31">
        <v>7.7</v>
      </c>
      <c r="C195" s="18">
        <v>3</v>
      </c>
      <c r="D195" s="18">
        <v>6.1</v>
      </c>
      <c r="E195" s="18">
        <v>2.2999999999999998</v>
      </c>
      <c r="F195" s="18" t="s">
        <v>2</v>
      </c>
      <c r="G195" s="23" t="s">
        <v>10</v>
      </c>
      <c r="H195" s="23" t="s">
        <v>9</v>
      </c>
      <c r="I195" s="51" t="s">
        <v>10</v>
      </c>
      <c r="J195" s="97" t="s">
        <v>10</v>
      </c>
      <c r="L195" s="31">
        <v>6.1</v>
      </c>
      <c r="M195" s="18">
        <v>3</v>
      </c>
      <c r="N195" s="18">
        <v>4.5999999999999996</v>
      </c>
      <c r="O195" s="18">
        <v>1.4</v>
      </c>
      <c r="P195" s="18" t="s">
        <v>1</v>
      </c>
      <c r="Q195" s="18" t="s">
        <v>9</v>
      </c>
      <c r="R195" s="18" t="s">
        <v>9</v>
      </c>
      <c r="S195" s="51" t="s">
        <v>9</v>
      </c>
      <c r="T195" s="97" t="s">
        <v>9</v>
      </c>
      <c r="V195" s="31">
        <v>4.9000000000000004</v>
      </c>
      <c r="W195" s="18">
        <v>3.1</v>
      </c>
      <c r="X195" s="18">
        <v>1.5</v>
      </c>
      <c r="Y195" s="18">
        <v>0.1</v>
      </c>
      <c r="Z195" s="18" t="s">
        <v>0</v>
      </c>
      <c r="AA195" s="18" t="s">
        <v>8</v>
      </c>
      <c r="AB195" s="18" t="s">
        <v>10</v>
      </c>
      <c r="AC195" s="51" t="s">
        <v>8</v>
      </c>
      <c r="AD195" s="97" t="s">
        <v>8</v>
      </c>
    </row>
    <row r="196" spans="2:30">
      <c r="B196" s="31">
        <v>6.3</v>
      </c>
      <c r="C196" s="18">
        <v>3.4</v>
      </c>
      <c r="D196" s="18">
        <v>5.6</v>
      </c>
      <c r="E196" s="18">
        <v>2.4</v>
      </c>
      <c r="F196" s="18" t="s">
        <v>2</v>
      </c>
      <c r="G196" s="23" t="s">
        <v>9</v>
      </c>
      <c r="H196" s="23" t="s">
        <v>9</v>
      </c>
      <c r="I196" s="51" t="s">
        <v>10</v>
      </c>
      <c r="J196" s="97" t="s">
        <v>10</v>
      </c>
      <c r="L196" s="29">
        <v>5.8</v>
      </c>
      <c r="M196" s="22">
        <v>2.6</v>
      </c>
      <c r="N196" s="22">
        <v>4</v>
      </c>
      <c r="O196" s="22">
        <v>1.2</v>
      </c>
      <c r="P196" s="22" t="s">
        <v>1</v>
      </c>
      <c r="Q196" s="18" t="s">
        <v>9</v>
      </c>
      <c r="R196" s="18" t="s">
        <v>8</v>
      </c>
      <c r="S196" s="51" t="s">
        <v>9</v>
      </c>
      <c r="T196" s="97" t="s">
        <v>9</v>
      </c>
      <c r="V196" s="29">
        <v>4.4000000000000004</v>
      </c>
      <c r="W196" s="22">
        <v>3</v>
      </c>
      <c r="X196" s="22">
        <v>1.3</v>
      </c>
      <c r="Y196" s="22">
        <v>0.2</v>
      </c>
      <c r="Z196" s="22" t="s">
        <v>0</v>
      </c>
      <c r="AA196" s="18" t="s">
        <v>8</v>
      </c>
      <c r="AB196" s="18" t="s">
        <v>9</v>
      </c>
      <c r="AC196" s="51" t="s">
        <v>8</v>
      </c>
      <c r="AD196" s="97" t="s">
        <v>8</v>
      </c>
    </row>
    <row r="197" spans="2:30">
      <c r="B197" s="31">
        <v>6.4</v>
      </c>
      <c r="C197" s="18">
        <v>3.1</v>
      </c>
      <c r="D197" s="18">
        <v>5.5</v>
      </c>
      <c r="E197" s="18">
        <v>1.8</v>
      </c>
      <c r="F197" s="18" t="s">
        <v>2</v>
      </c>
      <c r="G197" s="23" t="s">
        <v>9</v>
      </c>
      <c r="H197" s="23" t="s">
        <v>9</v>
      </c>
      <c r="I197" s="51" t="s">
        <v>10</v>
      </c>
      <c r="J197" s="97" t="s">
        <v>10</v>
      </c>
      <c r="L197" s="31">
        <v>5</v>
      </c>
      <c r="M197" s="18">
        <v>2.2999999999999998</v>
      </c>
      <c r="N197" s="18">
        <v>3.3</v>
      </c>
      <c r="O197" s="18">
        <v>1</v>
      </c>
      <c r="P197" s="18" t="s">
        <v>1</v>
      </c>
      <c r="Q197" s="18" t="s">
        <v>8</v>
      </c>
      <c r="R197" s="18" t="s">
        <v>8</v>
      </c>
      <c r="S197" s="51" t="s">
        <v>9</v>
      </c>
      <c r="T197" s="97" t="s">
        <v>9</v>
      </c>
      <c r="V197" s="31">
        <v>5.0999999999999996</v>
      </c>
      <c r="W197" s="18">
        <v>3.4</v>
      </c>
      <c r="X197" s="18">
        <v>1.5</v>
      </c>
      <c r="Y197" s="18">
        <v>0.2</v>
      </c>
      <c r="Z197" s="18" t="s">
        <v>0</v>
      </c>
      <c r="AA197" s="18" t="s">
        <v>8</v>
      </c>
      <c r="AB197" s="18" t="s">
        <v>9</v>
      </c>
      <c r="AC197" s="51" t="s">
        <v>8</v>
      </c>
      <c r="AD197" s="97" t="s">
        <v>8</v>
      </c>
    </row>
    <row r="198" spans="2:30">
      <c r="B198" s="31">
        <v>6.9</v>
      </c>
      <c r="C198" s="18">
        <v>3.1</v>
      </c>
      <c r="D198" s="18">
        <v>5.4</v>
      </c>
      <c r="E198" s="18">
        <v>2.1</v>
      </c>
      <c r="F198" s="18" t="s">
        <v>2</v>
      </c>
      <c r="G198" s="23" t="s">
        <v>10</v>
      </c>
      <c r="H198" s="23" t="s">
        <v>9</v>
      </c>
      <c r="I198" s="51" t="s">
        <v>10</v>
      </c>
      <c r="J198" s="97" t="s">
        <v>10</v>
      </c>
      <c r="L198" s="29">
        <v>5.6</v>
      </c>
      <c r="M198" s="22">
        <v>2.7</v>
      </c>
      <c r="N198" s="22">
        <v>4.2</v>
      </c>
      <c r="O198" s="22">
        <v>1.3</v>
      </c>
      <c r="P198" s="22" t="s">
        <v>1</v>
      </c>
      <c r="Q198" s="18" t="s">
        <v>9</v>
      </c>
      <c r="R198" s="18" t="s">
        <v>8</v>
      </c>
      <c r="S198" s="51" t="s">
        <v>9</v>
      </c>
      <c r="T198" s="97" t="s">
        <v>9</v>
      </c>
      <c r="V198" s="29">
        <v>5</v>
      </c>
      <c r="W198" s="22">
        <v>3.5</v>
      </c>
      <c r="X198" s="22">
        <v>1.3</v>
      </c>
      <c r="Y198" s="22">
        <v>0.3</v>
      </c>
      <c r="Z198" s="22" t="s">
        <v>0</v>
      </c>
      <c r="AA198" s="18" t="s">
        <v>8</v>
      </c>
      <c r="AB198" s="18" t="s">
        <v>9</v>
      </c>
      <c r="AC198" s="51" t="s">
        <v>8</v>
      </c>
      <c r="AD198" s="97" t="s">
        <v>8</v>
      </c>
    </row>
    <row r="199" spans="2:30">
      <c r="B199" s="31">
        <v>6.7</v>
      </c>
      <c r="C199" s="18">
        <v>3.1</v>
      </c>
      <c r="D199" s="18">
        <v>5.6</v>
      </c>
      <c r="E199" s="18">
        <v>2.4</v>
      </c>
      <c r="F199" s="18" t="s">
        <v>2</v>
      </c>
      <c r="G199" s="23" t="s">
        <v>10</v>
      </c>
      <c r="H199" s="23" t="s">
        <v>9</v>
      </c>
      <c r="I199" s="51" t="s">
        <v>10</v>
      </c>
      <c r="J199" s="97" t="s">
        <v>10</v>
      </c>
      <c r="L199" s="31">
        <v>5.7</v>
      </c>
      <c r="M199" s="18">
        <v>3</v>
      </c>
      <c r="N199" s="18">
        <v>4.2</v>
      </c>
      <c r="O199" s="18">
        <v>1.2</v>
      </c>
      <c r="P199" s="18" t="s">
        <v>1</v>
      </c>
      <c r="Q199" s="18" t="s">
        <v>9</v>
      </c>
      <c r="R199" s="18" t="s">
        <v>9</v>
      </c>
      <c r="S199" s="51" t="s">
        <v>9</v>
      </c>
      <c r="T199" s="97" t="s">
        <v>9</v>
      </c>
      <c r="V199" s="31">
        <v>4.5</v>
      </c>
      <c r="W199" s="18">
        <v>2.2999999999999998</v>
      </c>
      <c r="X199" s="18">
        <v>1.3</v>
      </c>
      <c r="Y199" s="18">
        <v>0.3</v>
      </c>
      <c r="Z199" s="18" t="s">
        <v>0</v>
      </c>
      <c r="AA199" s="18" t="s">
        <v>8</v>
      </c>
      <c r="AB199" s="18" t="s">
        <v>8</v>
      </c>
      <c r="AC199" s="51" t="s">
        <v>8</v>
      </c>
      <c r="AD199" s="97" t="s">
        <v>8</v>
      </c>
    </row>
    <row r="200" spans="2:30">
      <c r="B200" s="31">
        <v>6.9</v>
      </c>
      <c r="C200" s="18">
        <v>3.1</v>
      </c>
      <c r="D200" s="18">
        <v>5.0999999999999996</v>
      </c>
      <c r="E200" s="18">
        <v>2.2999999999999998</v>
      </c>
      <c r="F200" s="18" t="s">
        <v>2</v>
      </c>
      <c r="G200" s="23" t="s">
        <v>10</v>
      </c>
      <c r="H200" s="23" t="s">
        <v>9</v>
      </c>
      <c r="I200" s="51" t="s">
        <v>10</v>
      </c>
      <c r="J200" s="97" t="s">
        <v>10</v>
      </c>
      <c r="L200" s="29">
        <v>5.7</v>
      </c>
      <c r="M200" s="22">
        <v>2.9</v>
      </c>
      <c r="N200" s="22">
        <v>4.2</v>
      </c>
      <c r="O200" s="22">
        <v>1.3</v>
      </c>
      <c r="P200" s="22" t="s">
        <v>1</v>
      </c>
      <c r="Q200" s="18" t="s">
        <v>9</v>
      </c>
      <c r="R200" s="18" t="s">
        <v>8</v>
      </c>
      <c r="S200" s="51" t="s">
        <v>9</v>
      </c>
      <c r="T200" s="97" t="s">
        <v>9</v>
      </c>
      <c r="V200" s="29">
        <v>4.4000000000000004</v>
      </c>
      <c r="W200" s="22">
        <v>3.2</v>
      </c>
      <c r="X200" s="22">
        <v>1.3</v>
      </c>
      <c r="Y200" s="22">
        <v>0.2</v>
      </c>
      <c r="Z200" s="22" t="s">
        <v>0</v>
      </c>
      <c r="AA200" s="18" t="s">
        <v>8</v>
      </c>
      <c r="AB200" s="18" t="s">
        <v>9</v>
      </c>
      <c r="AC200" s="51" t="s">
        <v>8</v>
      </c>
      <c r="AD200" s="97" t="s">
        <v>8</v>
      </c>
    </row>
    <row r="201" spans="2:30">
      <c r="B201" s="31">
        <v>5.8</v>
      </c>
      <c r="C201" s="18">
        <v>2.7</v>
      </c>
      <c r="D201" s="18">
        <v>5.0999999999999996</v>
      </c>
      <c r="E201" s="18">
        <v>1.9</v>
      </c>
      <c r="F201" s="18" t="s">
        <v>2</v>
      </c>
      <c r="G201" s="23" t="s">
        <v>9</v>
      </c>
      <c r="H201" s="23" t="s">
        <v>8</v>
      </c>
      <c r="I201" s="51" t="s">
        <v>10</v>
      </c>
      <c r="J201" s="97" t="s">
        <v>10</v>
      </c>
      <c r="L201" s="31">
        <v>6.2</v>
      </c>
      <c r="M201" s="18">
        <v>2.9</v>
      </c>
      <c r="N201" s="18">
        <v>4.3</v>
      </c>
      <c r="O201" s="18">
        <v>1.3</v>
      </c>
      <c r="P201" s="18" t="s">
        <v>1</v>
      </c>
      <c r="Q201" s="18" t="s">
        <v>9</v>
      </c>
      <c r="R201" s="18" t="s">
        <v>8</v>
      </c>
      <c r="S201" s="51" t="s">
        <v>9</v>
      </c>
      <c r="T201" s="97" t="s">
        <v>9</v>
      </c>
      <c r="V201" s="31">
        <v>5</v>
      </c>
      <c r="W201" s="18">
        <v>3.5</v>
      </c>
      <c r="X201" s="18">
        <v>1.6</v>
      </c>
      <c r="Y201" s="18">
        <v>0.6</v>
      </c>
      <c r="Z201" s="18" t="s">
        <v>0</v>
      </c>
      <c r="AA201" s="18" t="s">
        <v>8</v>
      </c>
      <c r="AB201" s="18" t="s">
        <v>9</v>
      </c>
      <c r="AC201" s="51" t="s">
        <v>8</v>
      </c>
      <c r="AD201" s="97" t="s">
        <v>8</v>
      </c>
    </row>
    <row r="202" spans="2:30">
      <c r="B202" s="31">
        <v>6.8</v>
      </c>
      <c r="C202" s="18">
        <v>3.2</v>
      </c>
      <c r="D202" s="18">
        <v>5.9</v>
      </c>
      <c r="E202" s="18">
        <v>2.2999999999999998</v>
      </c>
      <c r="F202" s="18" t="s">
        <v>2</v>
      </c>
      <c r="G202" s="23" t="s">
        <v>10</v>
      </c>
      <c r="H202" s="23" t="s">
        <v>9</v>
      </c>
      <c r="I202" s="51" t="s">
        <v>10</v>
      </c>
      <c r="J202" s="97" t="s">
        <v>10</v>
      </c>
      <c r="L202" s="29">
        <v>5.0999999999999996</v>
      </c>
      <c r="M202" s="22">
        <v>2.5</v>
      </c>
      <c r="N202" s="22">
        <v>3</v>
      </c>
      <c r="O202" s="22">
        <v>1.1000000000000001</v>
      </c>
      <c r="P202" s="22" t="s">
        <v>1</v>
      </c>
      <c r="Q202" s="18" t="s">
        <v>8</v>
      </c>
      <c r="R202" s="18" t="s">
        <v>8</v>
      </c>
      <c r="S202" s="51" t="s">
        <v>9</v>
      </c>
      <c r="T202" s="97" t="s">
        <v>9</v>
      </c>
      <c r="V202" s="29">
        <v>5.0999999999999996</v>
      </c>
      <c r="W202" s="22">
        <v>3.8</v>
      </c>
      <c r="X202" s="22">
        <v>1.9</v>
      </c>
      <c r="Y202" s="22">
        <v>0.4</v>
      </c>
      <c r="Z202" s="22" t="s">
        <v>0</v>
      </c>
      <c r="AA202" s="18" t="s">
        <v>8</v>
      </c>
      <c r="AB202" s="18" t="s">
        <v>10</v>
      </c>
      <c r="AC202" s="51" t="s">
        <v>8</v>
      </c>
      <c r="AD202" s="97" t="s">
        <v>8</v>
      </c>
    </row>
    <row r="203" spans="2:30">
      <c r="B203" s="31">
        <v>6.7</v>
      </c>
      <c r="C203" s="18">
        <v>3.3</v>
      </c>
      <c r="D203" s="18">
        <v>5.7</v>
      </c>
      <c r="E203" s="18">
        <v>2.5</v>
      </c>
      <c r="F203" s="18" t="s">
        <v>2</v>
      </c>
      <c r="G203" s="23" t="s">
        <v>10</v>
      </c>
      <c r="H203" s="23" t="s">
        <v>9</v>
      </c>
      <c r="I203" s="51" t="s">
        <v>10</v>
      </c>
      <c r="J203" s="97" t="s">
        <v>10</v>
      </c>
      <c r="L203" s="31">
        <v>5.7</v>
      </c>
      <c r="M203" s="18">
        <v>2.8</v>
      </c>
      <c r="N203" s="18">
        <v>4.0999999999999996</v>
      </c>
      <c r="O203" s="18">
        <v>1.3</v>
      </c>
      <c r="P203" s="18" t="s">
        <v>1</v>
      </c>
      <c r="Q203" s="18" t="s">
        <v>9</v>
      </c>
      <c r="R203" s="18" t="s">
        <v>8</v>
      </c>
      <c r="S203" s="51" t="s">
        <v>9</v>
      </c>
      <c r="T203" s="97" t="s">
        <v>9</v>
      </c>
      <c r="V203" s="31">
        <v>4.8</v>
      </c>
      <c r="W203" s="18">
        <v>3</v>
      </c>
      <c r="X203" s="18">
        <v>1.4</v>
      </c>
      <c r="Y203" s="18">
        <v>0.3</v>
      </c>
      <c r="Z203" s="18" t="s">
        <v>0</v>
      </c>
      <c r="AA203" s="18" t="s">
        <v>8</v>
      </c>
      <c r="AB203" s="18" t="s">
        <v>9</v>
      </c>
      <c r="AC203" s="51" t="s">
        <v>8</v>
      </c>
      <c r="AD203" s="97" t="s">
        <v>8</v>
      </c>
    </row>
    <row r="204" spans="2:30">
      <c r="B204" s="31">
        <v>6.7</v>
      </c>
      <c r="C204" s="18">
        <v>3</v>
      </c>
      <c r="D204" s="18">
        <v>5.2</v>
      </c>
      <c r="E204" s="18">
        <v>2.2999999999999998</v>
      </c>
      <c r="F204" s="18" t="s">
        <v>2</v>
      </c>
      <c r="G204" s="23" t="s">
        <v>10</v>
      </c>
      <c r="H204" s="23" t="s">
        <v>9</v>
      </c>
      <c r="I204" s="51" t="s">
        <v>10</v>
      </c>
      <c r="J204" s="97" t="s">
        <v>10</v>
      </c>
      <c r="L204" s="29">
        <v>4.9000000000000004</v>
      </c>
      <c r="M204" s="22">
        <v>2.5</v>
      </c>
      <c r="N204" s="22">
        <v>4.5</v>
      </c>
      <c r="O204" s="22">
        <v>1.7</v>
      </c>
      <c r="P204" s="22" t="s">
        <v>2</v>
      </c>
      <c r="Q204" s="18" t="s">
        <v>8</v>
      </c>
      <c r="R204" s="18" t="s">
        <v>8</v>
      </c>
      <c r="S204" s="51" t="s">
        <v>9</v>
      </c>
      <c r="T204" s="97" t="s">
        <v>9</v>
      </c>
      <c r="V204" s="29">
        <v>5.0999999999999996</v>
      </c>
      <c r="W204" s="22">
        <v>3.8</v>
      </c>
      <c r="X204" s="22">
        <v>1.6</v>
      </c>
      <c r="Y204" s="22">
        <v>0.2</v>
      </c>
      <c r="Z204" s="22" t="s">
        <v>0</v>
      </c>
      <c r="AA204" s="18" t="s">
        <v>8</v>
      </c>
      <c r="AB204" s="18" t="s">
        <v>10</v>
      </c>
      <c r="AC204" s="51" t="s">
        <v>8</v>
      </c>
      <c r="AD204" s="97" t="s">
        <v>8</v>
      </c>
    </row>
    <row r="205" spans="2:30">
      <c r="B205" s="31">
        <v>6.3</v>
      </c>
      <c r="C205" s="18">
        <v>2.5</v>
      </c>
      <c r="D205" s="18">
        <v>5</v>
      </c>
      <c r="E205" s="18">
        <v>1.9</v>
      </c>
      <c r="F205" s="18" t="s">
        <v>2</v>
      </c>
      <c r="G205" s="23" t="s">
        <v>9</v>
      </c>
      <c r="H205" s="23" t="s">
        <v>8</v>
      </c>
      <c r="I205" s="51" t="s">
        <v>10</v>
      </c>
      <c r="J205" s="97" t="s">
        <v>10</v>
      </c>
      <c r="L205" s="29">
        <v>6.2</v>
      </c>
      <c r="M205" s="22">
        <v>2.8</v>
      </c>
      <c r="N205" s="22">
        <v>4.8</v>
      </c>
      <c r="O205" s="22">
        <v>1.8</v>
      </c>
      <c r="P205" s="22" t="s">
        <v>2</v>
      </c>
      <c r="Q205" s="18" t="s">
        <v>9</v>
      </c>
      <c r="R205" s="18" t="s">
        <v>8</v>
      </c>
      <c r="S205" s="51" t="s">
        <v>9</v>
      </c>
      <c r="T205" s="97" t="s">
        <v>10</v>
      </c>
      <c r="V205" s="31">
        <v>4.5999999999999996</v>
      </c>
      <c r="W205" s="18">
        <v>3.2</v>
      </c>
      <c r="X205" s="18">
        <v>1.4</v>
      </c>
      <c r="Y205" s="18">
        <v>0.2</v>
      </c>
      <c r="Z205" s="18" t="s">
        <v>0</v>
      </c>
      <c r="AA205" s="18" t="s">
        <v>8</v>
      </c>
      <c r="AB205" s="18" t="s">
        <v>9</v>
      </c>
      <c r="AC205" s="51" t="s">
        <v>8</v>
      </c>
      <c r="AD205" s="97" t="s">
        <v>8</v>
      </c>
    </row>
    <row r="206" spans="2:30">
      <c r="B206" s="31">
        <v>6.5</v>
      </c>
      <c r="C206" s="18">
        <v>3</v>
      </c>
      <c r="D206" s="18">
        <v>5.2</v>
      </c>
      <c r="E206" s="18">
        <v>2</v>
      </c>
      <c r="F206" s="18" t="s">
        <v>2</v>
      </c>
      <c r="G206" s="23" t="s">
        <v>9</v>
      </c>
      <c r="H206" s="23" t="s">
        <v>9</v>
      </c>
      <c r="I206" s="51" t="s">
        <v>10</v>
      </c>
      <c r="J206" s="97" t="s">
        <v>10</v>
      </c>
      <c r="L206" s="32">
        <v>6</v>
      </c>
      <c r="M206" s="33">
        <v>3</v>
      </c>
      <c r="N206" s="33">
        <v>4.8</v>
      </c>
      <c r="O206" s="33">
        <v>1.8</v>
      </c>
      <c r="P206" s="33" t="s">
        <v>2</v>
      </c>
      <c r="Q206" s="47" t="s">
        <v>9</v>
      </c>
      <c r="R206" s="47" t="s">
        <v>9</v>
      </c>
      <c r="S206" s="54" t="s">
        <v>9</v>
      </c>
      <c r="T206" s="98" t="s">
        <v>10</v>
      </c>
      <c r="V206" s="29">
        <v>5.3</v>
      </c>
      <c r="W206" s="22">
        <v>3.7</v>
      </c>
      <c r="X206" s="22">
        <v>1.5</v>
      </c>
      <c r="Y206" s="22">
        <v>0.2</v>
      </c>
      <c r="Z206" s="22" t="s">
        <v>0</v>
      </c>
      <c r="AA206" s="18" t="s">
        <v>8</v>
      </c>
      <c r="AB206" s="18" t="s">
        <v>10</v>
      </c>
      <c r="AC206" s="51" t="s">
        <v>8</v>
      </c>
      <c r="AD206" s="97" t="s">
        <v>8</v>
      </c>
    </row>
    <row r="207" spans="2:30">
      <c r="B207" s="31">
        <v>6.2</v>
      </c>
      <c r="C207" s="18">
        <v>3.4</v>
      </c>
      <c r="D207" s="18">
        <v>5.4</v>
      </c>
      <c r="E207" s="18">
        <v>2.2999999999999998</v>
      </c>
      <c r="F207" s="18" t="s">
        <v>2</v>
      </c>
      <c r="G207" s="23" t="s">
        <v>9</v>
      </c>
      <c r="H207" s="23" t="s">
        <v>9</v>
      </c>
      <c r="I207" s="51" t="s">
        <v>10</v>
      </c>
      <c r="J207" s="97" t="s">
        <v>10</v>
      </c>
      <c r="L207" s="8"/>
      <c r="M207" s="8"/>
      <c r="N207" s="8"/>
      <c r="O207" s="8"/>
      <c r="P207" s="8"/>
      <c r="Q207" s="8"/>
      <c r="R207" s="8"/>
      <c r="S207" s="8"/>
      <c r="T207" s="8"/>
      <c r="V207" s="80">
        <v>5</v>
      </c>
      <c r="W207" s="47">
        <v>3.3</v>
      </c>
      <c r="X207" s="47">
        <v>1.4</v>
      </c>
      <c r="Y207" s="47">
        <v>0.2</v>
      </c>
      <c r="Z207" s="47" t="s">
        <v>0</v>
      </c>
      <c r="AA207" s="47" t="s">
        <v>8</v>
      </c>
      <c r="AB207" s="47" t="s">
        <v>9</v>
      </c>
      <c r="AC207" s="54" t="s">
        <v>8</v>
      </c>
      <c r="AD207" s="98" t="s">
        <v>8</v>
      </c>
    </row>
    <row r="208" spans="2:30">
      <c r="B208" s="80">
        <v>5.9</v>
      </c>
      <c r="C208" s="47">
        <v>3</v>
      </c>
      <c r="D208" s="47">
        <v>5.0999999999999996</v>
      </c>
      <c r="E208" s="47">
        <v>1.8</v>
      </c>
      <c r="F208" s="47" t="s">
        <v>2</v>
      </c>
      <c r="G208" s="34" t="s">
        <v>9</v>
      </c>
      <c r="H208" s="34" t="s">
        <v>9</v>
      </c>
      <c r="I208" s="54" t="s">
        <v>10</v>
      </c>
      <c r="J208" s="98" t="s">
        <v>10</v>
      </c>
      <c r="L208" s="8"/>
      <c r="M208" s="8"/>
      <c r="N208" s="8"/>
      <c r="O208" s="8"/>
      <c r="P208" s="8"/>
      <c r="Q208" s="8"/>
      <c r="R208" s="8"/>
      <c r="S208" s="8"/>
      <c r="T208" s="8"/>
      <c r="V208" s="2"/>
      <c r="W208" s="2"/>
      <c r="X208" s="2"/>
      <c r="Y208" s="2"/>
      <c r="Z208" s="2"/>
      <c r="AA208" s="1"/>
      <c r="AB208" s="8"/>
      <c r="AC208" s="1"/>
      <c r="AD208" s="1"/>
    </row>
    <row r="209" spans="12:30">
      <c r="L209" s="8"/>
      <c r="M209" s="8"/>
      <c r="N209" s="8"/>
      <c r="O209" s="8"/>
      <c r="P209" s="8"/>
      <c r="Q209" s="8"/>
      <c r="R209" s="8"/>
      <c r="S209" s="8"/>
      <c r="T209" s="8"/>
      <c r="V209" s="2"/>
      <c r="W209" s="2"/>
      <c r="X209" s="2"/>
      <c r="Y209" s="2"/>
      <c r="Z209" s="2"/>
      <c r="AA209" s="1"/>
      <c r="AB209" s="8"/>
      <c r="AC209" s="1"/>
      <c r="AD209" s="1"/>
    </row>
    <row r="210" spans="12:30">
      <c r="L210" s="8"/>
      <c r="M210" s="8"/>
      <c r="N210" s="8"/>
      <c r="O210" s="8"/>
      <c r="P210" s="8"/>
      <c r="Q210" s="8"/>
      <c r="R210" s="8"/>
      <c r="S210" s="8"/>
      <c r="T210" s="8"/>
      <c r="V210" s="2"/>
      <c r="W210" s="2"/>
      <c r="X210" s="2"/>
      <c r="Y210" s="2"/>
      <c r="Z210" s="2"/>
      <c r="AA210" s="1"/>
      <c r="AB210" s="8"/>
      <c r="AC210" s="1"/>
      <c r="AD210" s="1"/>
    </row>
    <row r="211" spans="12:30">
      <c r="L211" s="8"/>
      <c r="M211" s="8"/>
      <c r="N211" s="8"/>
      <c r="O211" s="8"/>
      <c r="P211" s="8"/>
      <c r="Q211" s="8"/>
      <c r="R211" s="8"/>
      <c r="S211" s="8"/>
      <c r="T211" s="8"/>
      <c r="V211" s="1"/>
      <c r="W211" s="1"/>
      <c r="X211" s="1"/>
      <c r="Y211" s="1"/>
      <c r="Z211" s="1"/>
      <c r="AA211" s="1"/>
      <c r="AB211" s="8"/>
      <c r="AC211" s="1"/>
      <c r="AD211" s="1"/>
    </row>
    <row r="212" spans="12:30">
      <c r="L212" s="8"/>
      <c r="M212" s="8"/>
      <c r="N212" s="8"/>
      <c r="O212" s="8"/>
      <c r="P212" s="8"/>
      <c r="Q212" s="8"/>
      <c r="R212" s="8"/>
      <c r="S212" s="8"/>
      <c r="T212" s="8"/>
      <c r="V212" s="2"/>
      <c r="W212" s="2"/>
      <c r="X212" s="2"/>
      <c r="Y212" s="2"/>
      <c r="Z212" s="2"/>
      <c r="AA212" s="1"/>
      <c r="AB212" s="8"/>
      <c r="AC212" s="1"/>
      <c r="AD212" s="1"/>
    </row>
    <row r="213" spans="12:30">
      <c r="L213" s="8"/>
      <c r="M213" s="8"/>
      <c r="N213" s="8"/>
      <c r="O213" s="8"/>
      <c r="P213" s="8"/>
      <c r="Q213" s="8"/>
      <c r="R213" s="8"/>
      <c r="S213" s="8"/>
      <c r="T213" s="8"/>
      <c r="V213" s="2"/>
      <c r="W213" s="2"/>
      <c r="X213" s="2"/>
      <c r="Y213" s="2"/>
      <c r="Z213" s="2"/>
      <c r="AA213" s="1"/>
      <c r="AB213" s="8"/>
      <c r="AC213" s="1"/>
      <c r="AD213" s="1"/>
    </row>
    <row r="214" spans="12:30">
      <c r="L214" s="8"/>
      <c r="M214" s="8"/>
      <c r="N214" s="8"/>
      <c r="O214" s="8"/>
      <c r="P214" s="8"/>
      <c r="Q214" s="8"/>
      <c r="R214" s="8"/>
      <c r="S214" s="8"/>
      <c r="T214" s="8"/>
      <c r="V214" s="2"/>
      <c r="W214" s="2"/>
      <c r="X214" s="2"/>
      <c r="Y214" s="2"/>
      <c r="Z214" s="2"/>
      <c r="AA214" s="1"/>
      <c r="AB214" s="8"/>
      <c r="AC214" s="1"/>
      <c r="AD214" s="1"/>
    </row>
    <row r="215" spans="12:30">
      <c r="L215" s="8"/>
      <c r="M215" s="8"/>
      <c r="N215" s="8"/>
      <c r="O215" s="8"/>
      <c r="P215" s="8"/>
      <c r="Q215" s="8"/>
      <c r="R215" s="8"/>
      <c r="S215" s="8"/>
      <c r="T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2:30">
      <c r="L216" s="8"/>
      <c r="M216" s="8"/>
      <c r="N216" s="8"/>
      <c r="O216" s="8"/>
      <c r="P216" s="8"/>
      <c r="Q216" s="8"/>
      <c r="R216" s="8"/>
      <c r="S216" s="8"/>
      <c r="T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2:30">
      <c r="L217" s="8"/>
      <c r="M217" s="8"/>
      <c r="N217" s="8"/>
      <c r="O217" s="8"/>
      <c r="P217" s="8"/>
      <c r="Q217" s="8"/>
      <c r="R217" s="8"/>
      <c r="S217" s="8"/>
      <c r="T217" s="8"/>
    </row>
    <row r="218" spans="12:30">
      <c r="L218" s="8"/>
      <c r="M218" s="8"/>
      <c r="N218" s="8"/>
      <c r="O218" s="8"/>
      <c r="P218" s="8"/>
      <c r="Q218" s="8"/>
      <c r="R218" s="8"/>
      <c r="S218" s="8"/>
      <c r="T218" s="8"/>
    </row>
    <row r="219" spans="12:30">
      <c r="L219" s="8"/>
      <c r="M219" s="8"/>
      <c r="N219" s="8"/>
      <c r="O219" s="8"/>
      <c r="P219" s="8"/>
      <c r="Q219" s="8"/>
      <c r="R219" s="8"/>
      <c r="S219" s="8"/>
      <c r="T219" s="8"/>
    </row>
    <row r="220" spans="12:30">
      <c r="L220" s="8"/>
      <c r="M220" s="8"/>
      <c r="N220" s="8"/>
      <c r="O220" s="8"/>
      <c r="P220" s="8"/>
      <c r="Q220" s="8"/>
      <c r="R220" s="8"/>
      <c r="S220" s="8"/>
      <c r="T220" s="8"/>
    </row>
    <row r="221" spans="12:30">
      <c r="L221" s="8"/>
      <c r="M221" s="8"/>
      <c r="N221" s="8"/>
      <c r="O221" s="8"/>
      <c r="P221" s="8"/>
      <c r="Q221" s="8"/>
      <c r="R221" s="8"/>
      <c r="S221" s="8"/>
      <c r="T221" s="8"/>
    </row>
    <row r="222" spans="12:30">
      <c r="L222" s="8"/>
      <c r="M222" s="8"/>
      <c r="N222" s="8"/>
      <c r="O222" s="8"/>
      <c r="P222" s="8"/>
      <c r="Q222" s="8"/>
      <c r="R222" s="8"/>
      <c r="S222" s="8"/>
      <c r="T222" s="8"/>
    </row>
    <row r="223" spans="12:30">
      <c r="L223" s="8"/>
      <c r="M223" s="8"/>
      <c r="N223" s="8"/>
      <c r="O223" s="8"/>
      <c r="P223" s="8"/>
      <c r="Q223" s="8"/>
      <c r="R223" s="8"/>
      <c r="S223" s="8"/>
      <c r="T223" s="8"/>
    </row>
    <row r="224" spans="12:30">
      <c r="L224" s="8"/>
      <c r="M224" s="8"/>
      <c r="N224" s="8"/>
      <c r="O224" s="8"/>
      <c r="P224" s="8"/>
      <c r="Q224" s="8"/>
      <c r="R224" s="8"/>
      <c r="S224" s="8"/>
      <c r="T224" s="8"/>
    </row>
    <row r="225" spans="12:20">
      <c r="L225" s="8"/>
      <c r="M225" s="8"/>
      <c r="N225" s="8"/>
      <c r="O225" s="8"/>
      <c r="P225" s="8"/>
      <c r="Q225" s="8"/>
      <c r="R225" s="8"/>
      <c r="S225" s="8"/>
      <c r="T225" s="8"/>
    </row>
    <row r="226" spans="12:20">
      <c r="L226" s="8"/>
      <c r="M226" s="8"/>
      <c r="N226" s="8"/>
      <c r="O226" s="8"/>
      <c r="P226" s="8"/>
      <c r="Q226" s="8"/>
      <c r="R226" s="8"/>
      <c r="S226" s="8"/>
      <c r="T226" s="8"/>
    </row>
    <row r="227" spans="12:20">
      <c r="L227" s="8"/>
      <c r="M227" s="8"/>
      <c r="N227" s="8"/>
      <c r="O227" s="8"/>
      <c r="P227" s="8"/>
      <c r="Q227" s="8"/>
      <c r="R227" s="8"/>
      <c r="S227" s="8"/>
      <c r="T227" s="8"/>
    </row>
    <row r="228" spans="12:20">
      <c r="L228" s="8"/>
      <c r="M228" s="8"/>
      <c r="N228" s="8"/>
      <c r="O228" s="8"/>
      <c r="P228" s="8"/>
      <c r="Q228" s="8"/>
      <c r="R228" s="8"/>
      <c r="S228" s="8"/>
      <c r="T228" s="8"/>
    </row>
    <row r="229" spans="12:20">
      <c r="L229" s="8"/>
      <c r="M229" s="8"/>
      <c r="N229" s="8"/>
      <c r="O229" s="8"/>
      <c r="P229" s="8"/>
      <c r="Q229" s="8"/>
      <c r="R229" s="8"/>
      <c r="S229" s="8"/>
      <c r="T229" s="8"/>
    </row>
    <row r="230" spans="12:20">
      <c r="L230" s="8"/>
      <c r="M230" s="8"/>
      <c r="N230" s="8"/>
      <c r="O230" s="8"/>
      <c r="P230" s="8"/>
      <c r="Q230" s="8"/>
      <c r="R230" s="8"/>
      <c r="S230" s="8"/>
      <c r="T230" s="8"/>
    </row>
    <row r="231" spans="12:20">
      <c r="L231" s="8"/>
      <c r="M231" s="8"/>
      <c r="N231" s="8"/>
      <c r="O231" s="8"/>
      <c r="P231" s="8"/>
      <c r="Q231" s="8"/>
      <c r="R231" s="8"/>
      <c r="S231" s="8"/>
      <c r="T231" s="8"/>
    </row>
  </sheetData>
  <pageMargins left="0.7" right="0.7" top="0.75" bottom="0.75" header="0.3" footer="0.3"/>
  <pageSetup paperSize="9" orientation="portrait" horizontalDpi="1200" verticalDpi="1200" r:id="rId1"/>
  <drawing r:id="rId2"/>
  <tableParts count="5"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DA90-0F59-4686-BE24-D185879A6805}">
  <dimension ref="B1:AD231"/>
  <sheetViews>
    <sheetView topLeftCell="A136" zoomScale="85" zoomScaleNormal="85" workbookViewId="0">
      <selection activeCell="J155" sqref="J155"/>
    </sheetView>
  </sheetViews>
  <sheetFormatPr baseColWidth="10" defaultRowHeight="15"/>
  <cols>
    <col min="2" max="2" width="18.7109375" customWidth="1"/>
    <col min="3" max="3" width="18.28515625" customWidth="1"/>
    <col min="4" max="5" width="18.7109375" customWidth="1"/>
    <col min="6" max="6" width="14.7109375" customWidth="1"/>
    <col min="7" max="7" width="20.140625" customWidth="1"/>
    <col min="8" max="8" width="18.85546875" customWidth="1"/>
    <col min="9" max="9" width="19.7109375" customWidth="1"/>
    <col min="10" max="10" width="17.85546875" customWidth="1"/>
    <col min="11" max="11" width="20.85546875" customWidth="1"/>
    <col min="12" max="12" width="18.7109375" customWidth="1"/>
    <col min="13" max="13" width="17" customWidth="1"/>
    <col min="14" max="14" width="18.7109375" customWidth="1"/>
    <col min="15" max="15" width="16.85546875" customWidth="1"/>
    <col min="16" max="16" width="11.5703125" customWidth="1"/>
    <col min="17" max="17" width="19.7109375" customWidth="1"/>
    <col min="18" max="18" width="18" customWidth="1"/>
    <col min="19" max="19" width="19.7109375" customWidth="1"/>
    <col min="20" max="20" width="17.85546875" customWidth="1"/>
    <col min="22" max="22" width="18.7109375" customWidth="1"/>
    <col min="23" max="23" width="17" customWidth="1"/>
    <col min="24" max="24" width="18.7109375" customWidth="1"/>
    <col min="25" max="25" width="16.85546875" customWidth="1"/>
    <col min="27" max="27" width="19.7109375" customWidth="1"/>
    <col min="28" max="28" width="18" customWidth="1"/>
    <col min="29" max="29" width="19.7109375" customWidth="1"/>
    <col min="30" max="30" width="17.85546875" customWidth="1"/>
  </cols>
  <sheetData>
    <row r="1" spans="2:11">
      <c r="B1" s="90" t="s">
        <v>20</v>
      </c>
      <c r="C1" s="90" t="s">
        <v>21</v>
      </c>
      <c r="D1" s="90" t="s">
        <v>22</v>
      </c>
      <c r="E1" s="90" t="s">
        <v>23</v>
      </c>
      <c r="F1" s="90" t="s">
        <v>24</v>
      </c>
      <c r="G1" s="90" t="s">
        <v>20</v>
      </c>
      <c r="H1" s="91" t="s">
        <v>21</v>
      </c>
      <c r="I1" s="91" t="s">
        <v>22</v>
      </c>
      <c r="J1" s="91" t="s">
        <v>23</v>
      </c>
      <c r="K1" s="91" t="s">
        <v>24</v>
      </c>
    </row>
    <row r="2" spans="2:11">
      <c r="B2" s="92">
        <v>4.3</v>
      </c>
      <c r="C2" s="92">
        <v>3</v>
      </c>
      <c r="D2" s="92">
        <v>1.1000000000000001</v>
      </c>
      <c r="E2" s="92">
        <v>0.1</v>
      </c>
      <c r="F2" s="92" t="s">
        <v>25</v>
      </c>
      <c r="G2" s="92" t="str">
        <f>IF([1]!DataIris[[#This Row],[Largo de sépalo]]&lt;=5.5,"CORTO",IF([1]!DataIris[[#This Row],[Largo de sépalo]]&lt;=6.7,"MEDIANO","LARGO"))</f>
        <v>CORTO</v>
      </c>
      <c r="H2" s="92" t="str">
        <f>IF([1]!DataIris[[#This Row],[Ancho de sépalo]]&lt;=3.2,"ESTRECHO","ANCHO")</f>
        <v>ESTRECHO</v>
      </c>
      <c r="I2" s="92" t="str">
        <f>IF([1]!DataIris[[#This Row],[Largo de pétalo]]&lt;=3,"CORTO",IF([1]!DataIris[[#This Row],[Largo de pétalo]]&lt;=5,"MEDIANO","LARGO"))</f>
        <v>CORTO</v>
      </c>
      <c r="J2" s="92" t="str">
        <f>IF([1]!DataIris[[#This Row],[Ancho de pétalo]]&lt;=1.4,"ESTRECHO","ANCHO")</f>
        <v>ESTRECHO</v>
      </c>
      <c r="K2" s="92" t="s">
        <v>25</v>
      </c>
    </row>
    <row r="3" spans="2:11">
      <c r="B3" s="92">
        <v>4.4000000000000004</v>
      </c>
      <c r="C3" s="92">
        <v>3</v>
      </c>
      <c r="D3" s="92">
        <v>1.3</v>
      </c>
      <c r="E3" s="92">
        <v>0.2</v>
      </c>
      <c r="F3" s="92" t="s">
        <v>25</v>
      </c>
      <c r="G3" s="92" t="str">
        <f>IF([1]!DataIris[[#This Row],[Largo de sépalo]]&lt;=5.5,"CORTO",IF([1]!DataIris[[#This Row],[Largo de sépalo]]&lt;=6.7,"MEDIANO","LARGO"))</f>
        <v>CORTO</v>
      </c>
      <c r="H3" s="92" t="str">
        <f>IF([1]!DataIris[[#This Row],[Ancho de sépalo]]&lt;=3.2,"ESTRECHO","ANCHO")</f>
        <v>ESTRECHO</v>
      </c>
      <c r="I3" s="92" t="str">
        <f>IF([1]!DataIris[[#This Row],[Largo de pétalo]]&lt;=3,"CORTO",IF([1]!DataIris[[#This Row],[Largo de pétalo]]&lt;=5,"MEDIANO","LARGO"))</f>
        <v>CORTO</v>
      </c>
      <c r="J3" s="92" t="str">
        <f>IF([1]!DataIris[[#This Row],[Ancho de pétalo]]&lt;=1.4,"ESTRECHO","ANCHO")</f>
        <v>ESTRECHO</v>
      </c>
      <c r="K3" s="92" t="s">
        <v>26</v>
      </c>
    </row>
    <row r="4" spans="2:11">
      <c r="B4" s="92">
        <v>4.4000000000000004</v>
      </c>
      <c r="C4" s="92">
        <v>3.2</v>
      </c>
      <c r="D4" s="92">
        <v>1.3</v>
      </c>
      <c r="E4" s="92">
        <v>0.2</v>
      </c>
      <c r="F4" s="92" t="s">
        <v>25</v>
      </c>
      <c r="G4" s="92" t="str">
        <f>IF([1]!DataIris[[#This Row],[Largo de sépalo]]&lt;=5.5,"CORTO",IF([1]!DataIris[[#This Row],[Largo de sépalo]]&lt;=6.7,"MEDIANO","LARGO"))</f>
        <v>CORTO</v>
      </c>
      <c r="H4" s="92" t="str">
        <f>IF([1]!DataIris[[#This Row],[Ancho de sépalo]]&lt;=3.2,"ESTRECHO","ANCHO")</f>
        <v>ESTRECHO</v>
      </c>
      <c r="I4" s="92" t="str">
        <f>IF([1]!DataIris[[#This Row],[Largo de pétalo]]&lt;=3,"CORTO",IF([1]!DataIris[[#This Row],[Largo de pétalo]]&lt;=5,"MEDIANO","LARGO"))</f>
        <v>CORTO</v>
      </c>
      <c r="J4" s="92" t="str">
        <f>IF([1]!DataIris[[#This Row],[Ancho de pétalo]]&lt;=1.4,"ESTRECHO","ANCHO")</f>
        <v>ESTRECHO</v>
      </c>
      <c r="K4" s="92" t="s">
        <v>25</v>
      </c>
    </row>
    <row r="5" spans="2:11">
      <c r="B5" s="92">
        <v>4.4000000000000004</v>
      </c>
      <c r="C5" s="92">
        <v>2.9</v>
      </c>
      <c r="D5" s="92">
        <v>1.4</v>
      </c>
      <c r="E5" s="92">
        <v>0.2</v>
      </c>
      <c r="F5" s="92" t="s">
        <v>25</v>
      </c>
      <c r="G5" s="92" t="str">
        <f>IF([1]!DataIris[[#This Row],[Largo de sépalo]]&lt;=5.5,"CORTO",IF([1]!DataIris[[#This Row],[Largo de sépalo]]&lt;=6.7,"MEDIANO","LARGO"))</f>
        <v>CORTO</v>
      </c>
      <c r="H5" s="92" t="str">
        <f>IF([1]!DataIris[[#This Row],[Ancho de sépalo]]&lt;=3.2,"ESTRECHO","ANCHO")</f>
        <v>ESTRECHO</v>
      </c>
      <c r="I5" s="92" t="str">
        <f>IF([1]!DataIris[[#This Row],[Largo de pétalo]]&lt;=3,"CORTO",IF([1]!DataIris[[#This Row],[Largo de pétalo]]&lt;=5,"MEDIANO","LARGO"))</f>
        <v>CORTO</v>
      </c>
      <c r="J5" s="92" t="str">
        <f>IF([1]!DataIris[[#This Row],[Ancho de pétalo]]&lt;=1.4,"ESTRECHO","ANCHO")</f>
        <v>ESTRECHO</v>
      </c>
      <c r="K5" s="92" t="s">
        <v>27</v>
      </c>
    </row>
    <row r="6" spans="2:11">
      <c r="B6" s="92">
        <v>4.5</v>
      </c>
      <c r="C6" s="92">
        <v>2.2999999999999998</v>
      </c>
      <c r="D6" s="92">
        <v>1.3</v>
      </c>
      <c r="E6" s="92">
        <v>0.3</v>
      </c>
      <c r="F6" s="92" t="s">
        <v>25</v>
      </c>
      <c r="G6" s="92" t="str">
        <f>IF([1]!DataIris[[#This Row],[Largo de sépalo]]&lt;=5.5,"CORTO",IF([1]!DataIris[[#This Row],[Largo de sépalo]]&lt;=6.7,"MEDIANO","LARGO"))</f>
        <v>CORTO</v>
      </c>
      <c r="H6" s="92" t="str">
        <f>IF([1]!DataIris[[#This Row],[Ancho de sépalo]]&lt;=3.2,"ESTRECHO","ANCHO")</f>
        <v>ESTRECHO</v>
      </c>
      <c r="I6" s="92" t="str">
        <f>IF([1]!DataIris[[#This Row],[Largo de pétalo]]&lt;=3,"CORTO",IF([1]!DataIris[[#This Row],[Largo de pétalo]]&lt;=5,"MEDIANO","LARGO"))</f>
        <v>CORTO</v>
      </c>
      <c r="J6" s="92" t="str">
        <f>IF([1]!DataIris[[#This Row],[Ancho de pétalo]]&lt;=1.4,"ESTRECHO","ANCHO")</f>
        <v>ESTRECHO</v>
      </c>
      <c r="K6" s="92" t="s">
        <v>26</v>
      </c>
    </row>
    <row r="7" spans="2:11">
      <c r="B7" s="92">
        <v>4.5999999999999996</v>
      </c>
      <c r="C7" s="92">
        <v>3.6</v>
      </c>
      <c r="D7" s="92">
        <v>1</v>
      </c>
      <c r="E7" s="92">
        <v>0.2</v>
      </c>
      <c r="F7" s="92" t="s">
        <v>25</v>
      </c>
      <c r="G7" s="92" t="str">
        <f>IF([1]!DataIris[[#This Row],[Largo de sépalo]]&lt;=5.5,"CORTO",IF([1]!DataIris[[#This Row],[Largo de sépalo]]&lt;=6.7,"MEDIANO","LARGO"))</f>
        <v>CORTO</v>
      </c>
      <c r="H7" s="92" t="str">
        <f>IF([1]!DataIris[[#This Row],[Ancho de sépalo]]&lt;=3.2,"ESTRECHO","ANCHO")</f>
        <v>ANCHO</v>
      </c>
      <c r="I7" s="92" t="str">
        <f>IF([1]!DataIris[[#This Row],[Largo de pétalo]]&lt;=3,"CORTO",IF([1]!DataIris[[#This Row],[Largo de pétalo]]&lt;=5,"MEDIANO","LARGO"))</f>
        <v>CORTO</v>
      </c>
      <c r="J7" s="92" t="str">
        <f>IF([1]!DataIris[[#This Row],[Ancho de pétalo]]&lt;=1.4,"ESTRECHO","ANCHO")</f>
        <v>ESTRECHO</v>
      </c>
      <c r="K7" s="92" t="s">
        <v>26</v>
      </c>
    </row>
    <row r="8" spans="2:11">
      <c r="B8" s="92">
        <v>4.5999999999999996</v>
      </c>
      <c r="C8" s="92">
        <v>3.2</v>
      </c>
      <c r="D8" s="92">
        <v>1.4</v>
      </c>
      <c r="E8" s="92">
        <v>0.2</v>
      </c>
      <c r="F8" s="92" t="s">
        <v>25</v>
      </c>
      <c r="G8" s="92" t="str">
        <f>IF([1]!DataIris[[#This Row],[Largo de sépalo]]&lt;=5.5,"CORTO",IF([1]!DataIris[[#This Row],[Largo de sépalo]]&lt;=6.7,"MEDIANO","LARGO"))</f>
        <v>CORTO</v>
      </c>
      <c r="H8" s="92" t="str">
        <f>IF([1]!DataIris[[#This Row],[Ancho de sépalo]]&lt;=3.2,"ESTRECHO","ANCHO")</f>
        <v>ESTRECHO</v>
      </c>
      <c r="I8" s="92" t="str">
        <f>IF([1]!DataIris[[#This Row],[Largo de pétalo]]&lt;=3,"CORTO",IF([1]!DataIris[[#This Row],[Largo de pétalo]]&lt;=5,"MEDIANO","LARGO"))</f>
        <v>CORTO</v>
      </c>
      <c r="J8" s="92" t="str">
        <f>IF([1]!DataIris[[#This Row],[Ancho de pétalo]]&lt;=1.4,"ESTRECHO","ANCHO")</f>
        <v>ESTRECHO</v>
      </c>
      <c r="K8" s="92" t="s">
        <v>25</v>
      </c>
    </row>
    <row r="9" spans="2:11">
      <c r="B9" s="92">
        <v>4.5999999999999996</v>
      </c>
      <c r="C9" s="92">
        <v>3.1</v>
      </c>
      <c r="D9" s="92">
        <v>1.5</v>
      </c>
      <c r="E9" s="92">
        <v>0.2</v>
      </c>
      <c r="F9" s="92" t="s">
        <v>25</v>
      </c>
      <c r="G9" s="92" t="str">
        <f>IF([1]!DataIris[[#This Row],[Largo de sépalo]]&lt;=5.5,"CORTO",IF([1]!DataIris[[#This Row],[Largo de sépalo]]&lt;=6.7,"MEDIANO","LARGO"))</f>
        <v>CORTO</v>
      </c>
      <c r="H9" s="92" t="str">
        <f>IF([1]!DataIris[[#This Row],[Ancho de sépalo]]&lt;=3.2,"ESTRECHO","ANCHO")</f>
        <v>ESTRECHO</v>
      </c>
      <c r="I9" s="92" t="str">
        <f>IF([1]!DataIris[[#This Row],[Largo de pétalo]]&lt;=3,"CORTO",IF([1]!DataIris[[#This Row],[Largo de pétalo]]&lt;=5,"MEDIANO","LARGO"))</f>
        <v>CORTO</v>
      </c>
      <c r="J9" s="92" t="str">
        <f>IF([1]!DataIris[[#This Row],[Ancho de pétalo]]&lt;=1.4,"ESTRECHO","ANCHO")</f>
        <v>ESTRECHO</v>
      </c>
      <c r="K9" s="92" t="s">
        <v>27</v>
      </c>
    </row>
    <row r="10" spans="2:11">
      <c r="B10" s="92">
        <v>4.5999999999999996</v>
      </c>
      <c r="C10" s="92">
        <v>3.4</v>
      </c>
      <c r="D10" s="92">
        <v>1.4</v>
      </c>
      <c r="E10" s="92">
        <v>0.3</v>
      </c>
      <c r="F10" s="92" t="s">
        <v>25</v>
      </c>
      <c r="G10" s="92" t="str">
        <f>IF([1]!DataIris[[#This Row],[Largo de sépalo]]&lt;=5.5,"CORTO",IF([1]!DataIris[[#This Row],[Largo de sépalo]]&lt;=6.7,"MEDIANO","LARGO"))</f>
        <v>CORTO</v>
      </c>
      <c r="H10" s="92" t="str">
        <f>IF([1]!DataIris[[#This Row],[Ancho de sépalo]]&lt;=3.2,"ESTRECHO","ANCHO")</f>
        <v>ANCHO</v>
      </c>
      <c r="I10" s="92" t="str">
        <f>IF([1]!DataIris[[#This Row],[Largo de pétalo]]&lt;=3,"CORTO",IF([1]!DataIris[[#This Row],[Largo de pétalo]]&lt;=5,"MEDIANO","LARGO"))</f>
        <v>CORTO</v>
      </c>
      <c r="J10" s="92" t="str">
        <f>IF([1]!DataIris[[#This Row],[Ancho de pétalo]]&lt;=1.4,"ESTRECHO","ANCHO")</f>
        <v>ESTRECHO</v>
      </c>
      <c r="K10" s="92" t="s">
        <v>27</v>
      </c>
    </row>
    <row r="11" spans="2:11">
      <c r="B11" s="92">
        <v>4.7</v>
      </c>
      <c r="C11" s="92">
        <v>3.2</v>
      </c>
      <c r="D11" s="92">
        <v>1.3</v>
      </c>
      <c r="E11" s="92">
        <v>0.2</v>
      </c>
      <c r="F11" s="92" t="s">
        <v>25</v>
      </c>
      <c r="G11" s="92" t="str">
        <f>IF([1]!DataIris[[#This Row],[Largo de sépalo]]&lt;=5.5,"CORTO",IF([1]!DataIris[[#This Row],[Largo de sépalo]]&lt;=6.7,"MEDIANO","LARGO"))</f>
        <v>CORTO</v>
      </c>
      <c r="H11" s="92" t="str">
        <f>IF([1]!DataIris[[#This Row],[Ancho de sépalo]]&lt;=3.2,"ESTRECHO","ANCHO")</f>
        <v>ESTRECHO</v>
      </c>
      <c r="I11" s="92" t="str">
        <f>IF([1]!DataIris[[#This Row],[Largo de pétalo]]&lt;=3,"CORTO",IF([1]!DataIris[[#This Row],[Largo de pétalo]]&lt;=5,"MEDIANO","LARGO"))</f>
        <v>CORTO</v>
      </c>
      <c r="J11" s="92" t="str">
        <f>IF([1]!DataIris[[#This Row],[Ancho de pétalo]]&lt;=1.4,"ESTRECHO","ANCHO")</f>
        <v>ESTRECHO</v>
      </c>
      <c r="K11" s="92" t="s">
        <v>26</v>
      </c>
    </row>
    <row r="12" spans="2:11">
      <c r="B12" s="92">
        <v>4.7</v>
      </c>
      <c r="C12" s="92">
        <v>3.2</v>
      </c>
      <c r="D12" s="92">
        <v>1.6</v>
      </c>
      <c r="E12" s="92">
        <v>0.2</v>
      </c>
      <c r="F12" s="92" t="s">
        <v>25</v>
      </c>
      <c r="G12" s="92" t="str">
        <f>IF([1]!DataIris[[#This Row],[Largo de sépalo]]&lt;=5.5,"CORTO",IF([1]!DataIris[[#This Row],[Largo de sépalo]]&lt;=6.7,"MEDIANO","LARGO"))</f>
        <v>CORTO</v>
      </c>
      <c r="H12" s="92" t="str">
        <f>IF([1]!DataIris[[#This Row],[Ancho de sépalo]]&lt;=3.2,"ESTRECHO","ANCHO")</f>
        <v>ESTRECHO</v>
      </c>
      <c r="I12" s="92" t="str">
        <f>IF([1]!DataIris[[#This Row],[Largo de pétalo]]&lt;=3,"CORTO",IF([1]!DataIris[[#This Row],[Largo de pétalo]]&lt;=5,"MEDIANO","LARGO"))</f>
        <v>CORTO</v>
      </c>
      <c r="J12" s="92" t="str">
        <f>IF([1]!DataIris[[#This Row],[Ancho de pétalo]]&lt;=1.4,"ESTRECHO","ANCHO")</f>
        <v>ESTRECHO</v>
      </c>
      <c r="K12" s="92" t="s">
        <v>26</v>
      </c>
    </row>
    <row r="13" spans="2:11">
      <c r="B13" s="92">
        <v>4.8</v>
      </c>
      <c r="C13" s="92">
        <v>3</v>
      </c>
      <c r="D13" s="92">
        <v>1.4</v>
      </c>
      <c r="E13" s="92">
        <v>0.1</v>
      </c>
      <c r="F13" s="92" t="s">
        <v>25</v>
      </c>
      <c r="G13" s="92" t="str">
        <f>IF([1]!DataIris[[#This Row],[Largo de sépalo]]&lt;=5.5,"CORTO",IF([1]!DataIris[[#This Row],[Largo de sépalo]]&lt;=6.7,"MEDIANO","LARGO"))</f>
        <v>CORTO</v>
      </c>
      <c r="H13" s="92" t="str">
        <f>IF([1]!DataIris[[#This Row],[Ancho de sépalo]]&lt;=3.2,"ESTRECHO","ANCHO")</f>
        <v>ESTRECHO</v>
      </c>
      <c r="I13" s="92" t="str">
        <f>IF([1]!DataIris[[#This Row],[Largo de pétalo]]&lt;=3,"CORTO",IF([1]!DataIris[[#This Row],[Largo de pétalo]]&lt;=5,"MEDIANO","LARGO"))</f>
        <v>CORTO</v>
      </c>
      <c r="J13" s="92" t="str">
        <f>IF([1]!DataIris[[#This Row],[Ancho de pétalo]]&lt;=1.4,"ESTRECHO","ANCHO")</f>
        <v>ESTRECHO</v>
      </c>
      <c r="K13" s="92" t="s">
        <v>26</v>
      </c>
    </row>
    <row r="14" spans="2:11">
      <c r="B14" s="92">
        <v>4.8</v>
      </c>
      <c r="C14" s="92">
        <v>3.1</v>
      </c>
      <c r="D14" s="92">
        <v>1.6</v>
      </c>
      <c r="E14" s="92">
        <v>0.2</v>
      </c>
      <c r="F14" s="92" t="s">
        <v>25</v>
      </c>
      <c r="G14" s="92" t="str">
        <f>IF([1]!DataIris[[#This Row],[Largo de sépalo]]&lt;=5.5,"CORTO",IF([1]!DataIris[[#This Row],[Largo de sépalo]]&lt;=6.7,"MEDIANO","LARGO"))</f>
        <v>CORTO</v>
      </c>
      <c r="H14" s="92" t="str">
        <f>IF([1]!DataIris[[#This Row],[Ancho de sépalo]]&lt;=3.2,"ESTRECHO","ANCHO")</f>
        <v>ESTRECHO</v>
      </c>
      <c r="I14" s="92" t="str">
        <f>IF([1]!DataIris[[#This Row],[Largo de pétalo]]&lt;=3,"CORTO",IF([1]!DataIris[[#This Row],[Largo de pétalo]]&lt;=5,"MEDIANO","LARGO"))</f>
        <v>CORTO</v>
      </c>
      <c r="J14" s="92" t="str">
        <f>IF([1]!DataIris[[#This Row],[Ancho de pétalo]]&lt;=1.4,"ESTRECHO","ANCHO")</f>
        <v>ESTRECHO</v>
      </c>
      <c r="K14" s="92" t="s">
        <v>26</v>
      </c>
    </row>
    <row r="15" spans="2:11">
      <c r="B15" s="92">
        <v>4.8</v>
      </c>
      <c r="C15" s="92">
        <v>3.4</v>
      </c>
      <c r="D15" s="92">
        <v>1.6</v>
      </c>
      <c r="E15" s="92">
        <v>0.2</v>
      </c>
      <c r="F15" s="92" t="s">
        <v>25</v>
      </c>
      <c r="G15" s="92" t="str">
        <f>IF([1]!DataIris[[#This Row],[Largo de sépalo]]&lt;=5.5,"CORTO",IF([1]!DataIris[[#This Row],[Largo de sépalo]]&lt;=6.7,"MEDIANO","LARGO"))</f>
        <v>CORTO</v>
      </c>
      <c r="H15" s="92" t="str">
        <f>IF([1]!DataIris[[#This Row],[Ancho de sépalo]]&lt;=3.2,"ESTRECHO","ANCHO")</f>
        <v>ANCHO</v>
      </c>
      <c r="I15" s="92" t="str">
        <f>IF([1]!DataIris[[#This Row],[Largo de pétalo]]&lt;=3,"CORTO",IF([1]!DataIris[[#This Row],[Largo de pétalo]]&lt;=5,"MEDIANO","LARGO"))</f>
        <v>CORTO</v>
      </c>
      <c r="J15" s="92" t="str">
        <f>IF([1]!DataIris[[#This Row],[Ancho de pétalo]]&lt;=1.4,"ESTRECHO","ANCHO")</f>
        <v>ESTRECHO</v>
      </c>
      <c r="K15" s="92" t="s">
        <v>27</v>
      </c>
    </row>
    <row r="16" spans="2:11">
      <c r="B16" s="92">
        <v>4.8</v>
      </c>
      <c r="C16" s="92">
        <v>3.4</v>
      </c>
      <c r="D16" s="92">
        <v>1.9</v>
      </c>
      <c r="E16" s="92">
        <v>0.2</v>
      </c>
      <c r="F16" s="92" t="s">
        <v>25</v>
      </c>
      <c r="G16" s="92" t="str">
        <f>IF([1]!DataIris[[#This Row],[Largo de sépalo]]&lt;=5.5,"CORTO",IF([1]!DataIris[[#This Row],[Largo de sépalo]]&lt;=6.7,"MEDIANO","LARGO"))</f>
        <v>CORTO</v>
      </c>
      <c r="H16" s="92" t="str">
        <f>IF([1]!DataIris[[#This Row],[Ancho de sépalo]]&lt;=3.2,"ESTRECHO","ANCHO")</f>
        <v>ANCHO</v>
      </c>
      <c r="I16" s="92" t="str">
        <f>IF([1]!DataIris[[#This Row],[Largo de pétalo]]&lt;=3,"CORTO",IF([1]!DataIris[[#This Row],[Largo de pétalo]]&lt;=5,"MEDIANO","LARGO"))</f>
        <v>CORTO</v>
      </c>
      <c r="J16" s="92" t="str">
        <f>IF([1]!DataIris[[#This Row],[Ancho de pétalo]]&lt;=1.4,"ESTRECHO","ANCHO")</f>
        <v>ESTRECHO</v>
      </c>
      <c r="K16" s="92" t="s">
        <v>27</v>
      </c>
    </row>
    <row r="17" spans="2:11">
      <c r="B17" s="92">
        <v>4.8</v>
      </c>
      <c r="C17" s="92">
        <v>3</v>
      </c>
      <c r="D17" s="92">
        <v>1.4</v>
      </c>
      <c r="E17" s="92">
        <v>0.3</v>
      </c>
      <c r="F17" s="92" t="s">
        <v>25</v>
      </c>
      <c r="G17" s="92" t="str">
        <f>IF([1]!DataIris[[#This Row],[Largo de sépalo]]&lt;=5.5,"CORTO",IF([1]!DataIris[[#This Row],[Largo de sépalo]]&lt;=6.7,"MEDIANO","LARGO"))</f>
        <v>CORTO</v>
      </c>
      <c r="H17" s="92" t="str">
        <f>IF([1]!DataIris[[#This Row],[Ancho de sépalo]]&lt;=3.2,"ESTRECHO","ANCHO")</f>
        <v>ESTRECHO</v>
      </c>
      <c r="I17" s="92" t="str">
        <f>IF([1]!DataIris[[#This Row],[Largo de pétalo]]&lt;=3,"CORTO",IF([1]!DataIris[[#This Row],[Largo de pétalo]]&lt;=5,"MEDIANO","LARGO"))</f>
        <v>CORTO</v>
      </c>
      <c r="J17" s="92" t="str">
        <f>IF([1]!DataIris[[#This Row],[Ancho de pétalo]]&lt;=1.4,"ESTRECHO","ANCHO")</f>
        <v>ESTRECHO</v>
      </c>
      <c r="K17" s="92" t="s">
        <v>27</v>
      </c>
    </row>
    <row r="18" spans="2:11">
      <c r="B18" s="92">
        <v>4.9000000000000004</v>
      </c>
      <c r="C18" s="92">
        <v>3.1</v>
      </c>
      <c r="D18" s="92">
        <v>1.5</v>
      </c>
      <c r="E18" s="92">
        <v>0.1</v>
      </c>
      <c r="F18" s="92" t="s">
        <v>25</v>
      </c>
      <c r="G18" s="92" t="str">
        <f>IF([1]!DataIris[[#This Row],[Largo de sépalo]]&lt;=5.5,"CORTO",IF([1]!DataIris[[#This Row],[Largo de sépalo]]&lt;=6.7,"MEDIANO","LARGO"))</f>
        <v>CORTO</v>
      </c>
      <c r="H18" s="92" t="str">
        <f>IF([1]!DataIris[[#This Row],[Ancho de sépalo]]&lt;=3.2,"ESTRECHO","ANCHO")</f>
        <v>ESTRECHO</v>
      </c>
      <c r="I18" s="92" t="str">
        <f>IF([1]!DataIris[[#This Row],[Largo de pétalo]]&lt;=3,"CORTO",IF([1]!DataIris[[#This Row],[Largo de pétalo]]&lt;=5,"MEDIANO","LARGO"))</f>
        <v>CORTO</v>
      </c>
      <c r="J18" s="92" t="str">
        <f>IF([1]!DataIris[[#This Row],[Ancho de pétalo]]&lt;=1.4,"ESTRECHO","ANCHO")</f>
        <v>ESTRECHO</v>
      </c>
      <c r="K18" s="92" t="s">
        <v>27</v>
      </c>
    </row>
    <row r="19" spans="2:11">
      <c r="B19" s="92">
        <v>4.9000000000000004</v>
      </c>
      <c r="C19" s="92">
        <v>3.1</v>
      </c>
      <c r="D19" s="92">
        <v>1.5</v>
      </c>
      <c r="E19" s="92">
        <v>0.1</v>
      </c>
      <c r="F19" s="92" t="s">
        <v>25</v>
      </c>
      <c r="G19" s="92" t="str">
        <f>IF([1]!DataIris[[#This Row],[Largo de sépalo]]&lt;=5.5,"CORTO",IF([1]!DataIris[[#This Row],[Largo de sépalo]]&lt;=6.7,"MEDIANO","LARGO"))</f>
        <v>CORTO</v>
      </c>
      <c r="H19" s="92" t="str">
        <f>IF([1]!DataIris[[#This Row],[Ancho de sépalo]]&lt;=3.2,"ESTRECHO","ANCHO")</f>
        <v>ESTRECHO</v>
      </c>
      <c r="I19" s="92" t="str">
        <f>IF([1]!DataIris[[#This Row],[Largo de pétalo]]&lt;=3,"CORTO",IF([1]!DataIris[[#This Row],[Largo de pétalo]]&lt;=5,"MEDIANO","LARGO"))</f>
        <v>CORTO</v>
      </c>
      <c r="J19" s="92" t="str">
        <f>IF([1]!DataIris[[#This Row],[Ancho de pétalo]]&lt;=1.4,"ESTRECHO","ANCHO")</f>
        <v>ESTRECHO</v>
      </c>
      <c r="K19" s="92" t="s">
        <v>26</v>
      </c>
    </row>
    <row r="20" spans="2:11">
      <c r="B20" s="92">
        <v>4.9000000000000004</v>
      </c>
      <c r="C20" s="92">
        <v>3.1</v>
      </c>
      <c r="D20" s="92">
        <v>1.5</v>
      </c>
      <c r="E20" s="92">
        <v>0.1</v>
      </c>
      <c r="F20" s="92" t="s">
        <v>25</v>
      </c>
      <c r="G20" s="92" t="str">
        <f>IF([1]!DataIris[[#This Row],[Largo de sépalo]]&lt;=5.5,"CORTO",IF([1]!DataIris[[#This Row],[Largo de sépalo]]&lt;=6.7,"MEDIANO","LARGO"))</f>
        <v>CORTO</v>
      </c>
      <c r="H20" s="92" t="str">
        <f>IF([1]!DataIris[[#This Row],[Ancho de sépalo]]&lt;=3.2,"ESTRECHO","ANCHO")</f>
        <v>ESTRECHO</v>
      </c>
      <c r="I20" s="92" t="str">
        <f>IF([1]!DataIris[[#This Row],[Largo de pétalo]]&lt;=3,"CORTO",IF([1]!DataIris[[#This Row],[Largo de pétalo]]&lt;=5,"MEDIANO","LARGO"))</f>
        <v>CORTO</v>
      </c>
      <c r="J20" s="92" t="str">
        <f>IF([1]!DataIris[[#This Row],[Ancho de pétalo]]&lt;=1.4,"ESTRECHO","ANCHO")</f>
        <v>ESTRECHO</v>
      </c>
      <c r="K20" s="92" t="s">
        <v>27</v>
      </c>
    </row>
    <row r="21" spans="2:11">
      <c r="B21" s="92">
        <v>4.9000000000000004</v>
      </c>
      <c r="C21" s="92">
        <v>3</v>
      </c>
      <c r="D21" s="92">
        <v>1.4</v>
      </c>
      <c r="E21" s="92">
        <v>0.2</v>
      </c>
      <c r="F21" s="92" t="s">
        <v>25</v>
      </c>
      <c r="G21" s="92" t="str">
        <f>IF([1]!DataIris[[#This Row],[Largo de sépalo]]&lt;=5.5,"CORTO",IF([1]!DataIris[[#This Row],[Largo de sépalo]]&lt;=6.7,"MEDIANO","LARGO"))</f>
        <v>CORTO</v>
      </c>
      <c r="H21" s="92" t="str">
        <f>IF([1]!DataIris[[#This Row],[Ancho de sépalo]]&lt;=3.2,"ESTRECHO","ANCHO")</f>
        <v>ESTRECHO</v>
      </c>
      <c r="I21" s="92" t="str">
        <f>IF([1]!DataIris[[#This Row],[Largo de pétalo]]&lt;=3,"CORTO",IF([1]!DataIris[[#This Row],[Largo de pétalo]]&lt;=5,"MEDIANO","LARGO"))</f>
        <v>CORTO</v>
      </c>
      <c r="J21" s="92" t="str">
        <f>IF([1]!DataIris[[#This Row],[Ancho de pétalo]]&lt;=1.4,"ESTRECHO","ANCHO")</f>
        <v>ESTRECHO</v>
      </c>
      <c r="K21" s="92" t="s">
        <v>26</v>
      </c>
    </row>
    <row r="22" spans="2:11">
      <c r="B22" s="92">
        <v>4.9000000000000004</v>
      </c>
      <c r="C22" s="92">
        <v>2.4</v>
      </c>
      <c r="D22" s="92">
        <v>3.3</v>
      </c>
      <c r="E22" s="92">
        <v>1</v>
      </c>
      <c r="F22" s="92" t="s">
        <v>26</v>
      </c>
      <c r="G22" s="92" t="str">
        <f>IF([1]!DataIris[[#This Row],[Largo de sépalo]]&lt;=5.5,"CORTO",IF([1]!DataIris[[#This Row],[Largo de sépalo]]&lt;=6.7,"MEDIANO","LARGO"))</f>
        <v>CORTO</v>
      </c>
      <c r="H22" s="92" t="str">
        <f>IF([1]!DataIris[[#This Row],[Ancho de sépalo]]&lt;=3.2,"ESTRECHO","ANCHO")</f>
        <v>ESTRECHO</v>
      </c>
      <c r="I22" s="92" t="str">
        <f>IF([1]!DataIris[[#This Row],[Largo de pétalo]]&lt;=3,"CORTO",IF([1]!DataIris[[#This Row],[Largo de pétalo]]&lt;=5,"MEDIANO","LARGO"))</f>
        <v>MEDIANO</v>
      </c>
      <c r="J22" s="92" t="str">
        <f>IF([1]!DataIris[[#This Row],[Ancho de pétalo]]&lt;=1.4,"ESTRECHO","ANCHO")</f>
        <v>ESTRECHO</v>
      </c>
      <c r="K22" s="92" t="s">
        <v>27</v>
      </c>
    </row>
    <row r="23" spans="2:11">
      <c r="B23" s="92">
        <v>4.9000000000000004</v>
      </c>
      <c r="C23" s="92">
        <v>2.5</v>
      </c>
      <c r="D23" s="92">
        <v>4.5</v>
      </c>
      <c r="E23" s="92">
        <v>1.7</v>
      </c>
      <c r="F23" s="92" t="s">
        <v>27</v>
      </c>
      <c r="G23" s="92" t="str">
        <f>IF([1]!DataIris[[#This Row],[Largo de sépalo]]&lt;=5.5,"CORTO",IF([1]!DataIris[[#This Row],[Largo de sépalo]]&lt;=6.7,"MEDIANO","LARGO"))</f>
        <v>CORTO</v>
      </c>
      <c r="H23" s="92" t="str">
        <f>IF([1]!DataIris[[#This Row],[Ancho de sépalo]]&lt;=3.2,"ESTRECHO","ANCHO")</f>
        <v>ESTRECHO</v>
      </c>
      <c r="I23" s="92" t="str">
        <f>IF([1]!DataIris[[#This Row],[Largo de pétalo]]&lt;=3,"CORTO",IF([1]!DataIris[[#This Row],[Largo de pétalo]]&lt;=5,"MEDIANO","LARGO"))</f>
        <v>MEDIANO</v>
      </c>
      <c r="J23" s="92" t="str">
        <f>IF([1]!DataIris[[#This Row],[Ancho de pétalo]]&lt;=1.4,"ESTRECHO","ANCHO")</f>
        <v>ANCHO</v>
      </c>
      <c r="K23" s="92" t="s">
        <v>27</v>
      </c>
    </row>
    <row r="24" spans="2:11">
      <c r="B24" s="92">
        <v>5</v>
      </c>
      <c r="C24" s="92">
        <v>3.2</v>
      </c>
      <c r="D24" s="92">
        <v>1.2</v>
      </c>
      <c r="E24" s="92">
        <v>0.2</v>
      </c>
      <c r="F24" s="92" t="s">
        <v>25</v>
      </c>
      <c r="G24" s="92" t="str">
        <f>IF([1]!DataIris[[#This Row],[Largo de sépalo]]&lt;=5.5,"CORTO",IF([1]!DataIris[[#This Row],[Largo de sépalo]]&lt;=6.7,"MEDIANO","LARGO"))</f>
        <v>CORTO</v>
      </c>
      <c r="H24" s="92" t="str">
        <f>IF([1]!DataIris[[#This Row],[Ancho de sépalo]]&lt;=3.2,"ESTRECHO","ANCHO")</f>
        <v>ESTRECHO</v>
      </c>
      <c r="I24" s="92" t="str">
        <f>IF([1]!DataIris[[#This Row],[Largo de pétalo]]&lt;=3,"CORTO",IF([1]!DataIris[[#This Row],[Largo de pétalo]]&lt;=5,"MEDIANO","LARGO"))</f>
        <v>CORTO</v>
      </c>
      <c r="J24" s="92" t="str">
        <f>IF([1]!DataIris[[#This Row],[Ancho de pétalo]]&lt;=1.4,"ESTRECHO","ANCHO")</f>
        <v>ESTRECHO</v>
      </c>
      <c r="K24" s="92" t="s">
        <v>25</v>
      </c>
    </row>
    <row r="25" spans="2:11">
      <c r="B25" s="92">
        <v>5</v>
      </c>
      <c r="C25" s="92">
        <v>3.3</v>
      </c>
      <c r="D25" s="92">
        <v>1.4</v>
      </c>
      <c r="E25" s="92">
        <v>0.2</v>
      </c>
      <c r="F25" s="92" t="s">
        <v>25</v>
      </c>
      <c r="G25" s="92" t="str">
        <f>IF([1]!DataIris[[#This Row],[Largo de sépalo]]&lt;=5.5,"CORTO",IF([1]!DataIris[[#This Row],[Largo de sépalo]]&lt;=6.7,"MEDIANO","LARGO"))</f>
        <v>CORTO</v>
      </c>
      <c r="H25" s="92" t="str">
        <f>IF([1]!DataIris[[#This Row],[Ancho de sépalo]]&lt;=3.2,"ESTRECHO","ANCHO")</f>
        <v>ANCHO</v>
      </c>
      <c r="I25" s="92" t="str">
        <f>IF([1]!DataIris[[#This Row],[Largo de pétalo]]&lt;=3,"CORTO",IF([1]!DataIris[[#This Row],[Largo de pétalo]]&lt;=5,"MEDIANO","LARGO"))</f>
        <v>CORTO</v>
      </c>
      <c r="J25" s="92" t="str">
        <f>IF([1]!DataIris[[#This Row],[Ancho de pétalo]]&lt;=1.4,"ESTRECHO","ANCHO")</f>
        <v>ESTRECHO</v>
      </c>
      <c r="K25" s="92" t="s">
        <v>25</v>
      </c>
    </row>
    <row r="26" spans="2:11">
      <c r="B26" s="92">
        <v>5</v>
      </c>
      <c r="C26" s="92">
        <v>3.6</v>
      </c>
      <c r="D26" s="92">
        <v>1.4</v>
      </c>
      <c r="E26" s="92">
        <v>0.2</v>
      </c>
      <c r="F26" s="92" t="s">
        <v>25</v>
      </c>
      <c r="G26" s="92" t="str">
        <f>IF([1]!DataIris[[#This Row],[Largo de sépalo]]&lt;=5.5,"CORTO",IF([1]!DataIris[[#This Row],[Largo de sépalo]]&lt;=6.7,"MEDIANO","LARGO"))</f>
        <v>CORTO</v>
      </c>
      <c r="H26" s="92" t="str">
        <f>IF([1]!DataIris[[#This Row],[Ancho de sépalo]]&lt;=3.2,"ESTRECHO","ANCHO")</f>
        <v>ANCHO</v>
      </c>
      <c r="I26" s="92" t="str">
        <f>IF([1]!DataIris[[#This Row],[Largo de pétalo]]&lt;=3,"CORTO",IF([1]!DataIris[[#This Row],[Largo de pétalo]]&lt;=5,"MEDIANO","LARGO"))</f>
        <v>CORTO</v>
      </c>
      <c r="J26" s="92" t="str">
        <f>IF([1]!DataIris[[#This Row],[Ancho de pétalo]]&lt;=1.4,"ESTRECHO","ANCHO")</f>
        <v>ESTRECHO</v>
      </c>
      <c r="K26" s="92" t="s">
        <v>26</v>
      </c>
    </row>
    <row r="27" spans="2:11">
      <c r="B27" s="92">
        <v>5</v>
      </c>
      <c r="C27" s="92">
        <v>3.4</v>
      </c>
      <c r="D27" s="92">
        <v>1.5</v>
      </c>
      <c r="E27" s="92">
        <v>0.2</v>
      </c>
      <c r="F27" s="92" t="s">
        <v>25</v>
      </c>
      <c r="G27" s="92" t="str">
        <f>IF([1]!DataIris[[#This Row],[Largo de sépalo]]&lt;=5.5,"CORTO",IF([1]!DataIris[[#This Row],[Largo de sépalo]]&lt;=6.7,"MEDIANO","LARGO"))</f>
        <v>CORTO</v>
      </c>
      <c r="H27" s="92" t="str">
        <f>IF([1]!DataIris[[#This Row],[Ancho de sépalo]]&lt;=3.2,"ESTRECHO","ANCHO")</f>
        <v>ANCHO</v>
      </c>
      <c r="I27" s="92" t="str">
        <f>IF([1]!DataIris[[#This Row],[Largo de pétalo]]&lt;=3,"CORTO",IF([1]!DataIris[[#This Row],[Largo de pétalo]]&lt;=5,"MEDIANO","LARGO"))</f>
        <v>CORTO</v>
      </c>
      <c r="J27" s="92" t="str">
        <f>IF([1]!DataIris[[#This Row],[Ancho de pétalo]]&lt;=1.4,"ESTRECHO","ANCHO")</f>
        <v>ESTRECHO</v>
      </c>
      <c r="K27" s="92" t="s">
        <v>26</v>
      </c>
    </row>
    <row r="28" spans="2:11">
      <c r="B28" s="92">
        <v>5</v>
      </c>
      <c r="C28" s="92">
        <v>3</v>
      </c>
      <c r="D28" s="92">
        <v>1.6</v>
      </c>
      <c r="E28" s="92">
        <v>0.2</v>
      </c>
      <c r="F28" s="92" t="s">
        <v>25</v>
      </c>
      <c r="G28" s="92" t="str">
        <f>IF([1]!DataIris[[#This Row],[Largo de sépalo]]&lt;=5.5,"CORTO",IF([1]!DataIris[[#This Row],[Largo de sépalo]]&lt;=6.7,"MEDIANO","LARGO"))</f>
        <v>CORTO</v>
      </c>
      <c r="H28" s="92" t="str">
        <f>IF([1]!DataIris[[#This Row],[Ancho de sépalo]]&lt;=3.2,"ESTRECHO","ANCHO")</f>
        <v>ESTRECHO</v>
      </c>
      <c r="I28" s="92" t="str">
        <f>IF([1]!DataIris[[#This Row],[Largo de pétalo]]&lt;=3,"CORTO",IF([1]!DataIris[[#This Row],[Largo de pétalo]]&lt;=5,"MEDIANO","LARGO"))</f>
        <v>CORTO</v>
      </c>
      <c r="J28" s="92" t="str">
        <f>IF([1]!DataIris[[#This Row],[Ancho de pétalo]]&lt;=1.4,"ESTRECHO","ANCHO")</f>
        <v>ESTRECHO</v>
      </c>
      <c r="K28" s="92" t="s">
        <v>26</v>
      </c>
    </row>
    <row r="29" spans="2:11">
      <c r="B29" s="92">
        <v>5</v>
      </c>
      <c r="C29" s="92">
        <v>3.5</v>
      </c>
      <c r="D29" s="92">
        <v>1.3</v>
      </c>
      <c r="E29" s="92">
        <v>0.3</v>
      </c>
      <c r="F29" s="92" t="s">
        <v>25</v>
      </c>
      <c r="G29" s="92" t="str">
        <f>IF([1]!DataIris[[#This Row],[Largo de sépalo]]&lt;=5.5,"CORTO",IF([1]!DataIris[[#This Row],[Largo de sépalo]]&lt;=6.7,"MEDIANO","LARGO"))</f>
        <v>CORTO</v>
      </c>
      <c r="H29" s="92" t="str">
        <f>IF([1]!DataIris[[#This Row],[Ancho de sépalo]]&lt;=3.2,"ESTRECHO","ANCHO")</f>
        <v>ANCHO</v>
      </c>
      <c r="I29" s="92" t="str">
        <f>IF([1]!DataIris[[#This Row],[Largo de pétalo]]&lt;=3,"CORTO",IF([1]!DataIris[[#This Row],[Largo de pétalo]]&lt;=5,"MEDIANO","LARGO"))</f>
        <v>CORTO</v>
      </c>
      <c r="J29" s="92" t="str">
        <f>IF([1]!DataIris[[#This Row],[Ancho de pétalo]]&lt;=1.4,"ESTRECHO","ANCHO")</f>
        <v>ESTRECHO</v>
      </c>
      <c r="K29" s="92" t="s">
        <v>27</v>
      </c>
    </row>
    <row r="30" spans="2:11">
      <c r="B30" s="92">
        <v>5</v>
      </c>
      <c r="C30" s="92">
        <v>3.4</v>
      </c>
      <c r="D30" s="92">
        <v>1.6</v>
      </c>
      <c r="E30" s="92">
        <v>0.4</v>
      </c>
      <c r="F30" s="92" t="s">
        <v>25</v>
      </c>
      <c r="G30" s="92" t="str">
        <f>IF([1]!DataIris[[#This Row],[Largo de sépalo]]&lt;=5.5,"CORTO",IF([1]!DataIris[[#This Row],[Largo de sépalo]]&lt;=6.7,"MEDIANO","LARGO"))</f>
        <v>CORTO</v>
      </c>
      <c r="H30" s="92" t="str">
        <f>IF([1]!DataIris[[#This Row],[Ancho de sépalo]]&lt;=3.2,"ESTRECHO","ANCHO")</f>
        <v>ANCHO</v>
      </c>
      <c r="I30" s="92" t="str">
        <f>IF([1]!DataIris[[#This Row],[Largo de pétalo]]&lt;=3,"CORTO",IF([1]!DataIris[[#This Row],[Largo de pétalo]]&lt;=5,"MEDIANO","LARGO"))</f>
        <v>CORTO</v>
      </c>
      <c r="J30" s="92" t="str">
        <f>IF([1]!DataIris[[#This Row],[Ancho de pétalo]]&lt;=1.4,"ESTRECHO","ANCHO")</f>
        <v>ESTRECHO</v>
      </c>
      <c r="K30" s="92" t="s">
        <v>26</v>
      </c>
    </row>
    <row r="31" spans="2:11">
      <c r="B31" s="92">
        <v>5</v>
      </c>
      <c r="C31" s="92">
        <v>3.5</v>
      </c>
      <c r="D31" s="92">
        <v>1.6</v>
      </c>
      <c r="E31" s="92">
        <v>0.6</v>
      </c>
      <c r="F31" s="92" t="s">
        <v>25</v>
      </c>
      <c r="G31" s="92" t="str">
        <f>IF([1]!DataIris[[#This Row],[Largo de sépalo]]&lt;=5.5,"CORTO",IF([1]!DataIris[[#This Row],[Largo de sépalo]]&lt;=6.7,"MEDIANO","LARGO"))</f>
        <v>CORTO</v>
      </c>
      <c r="H31" s="92" t="str">
        <f>IF([1]!DataIris[[#This Row],[Ancho de sépalo]]&lt;=3.2,"ESTRECHO","ANCHO")</f>
        <v>ANCHO</v>
      </c>
      <c r="I31" s="92" t="str">
        <f>IF([1]!DataIris[[#This Row],[Largo de pétalo]]&lt;=3,"CORTO",IF([1]!DataIris[[#This Row],[Largo de pétalo]]&lt;=5,"MEDIANO","LARGO"))</f>
        <v>CORTO</v>
      </c>
      <c r="J31" s="92" t="str">
        <f>IF([1]!DataIris[[#This Row],[Ancho de pétalo]]&lt;=1.4,"ESTRECHO","ANCHO")</f>
        <v>ESTRECHO</v>
      </c>
      <c r="K31" s="92" t="s">
        <v>27</v>
      </c>
    </row>
    <row r="32" spans="2:11">
      <c r="B32" s="92">
        <v>5</v>
      </c>
      <c r="C32" s="92">
        <v>2.2999999999999998</v>
      </c>
      <c r="D32" s="92">
        <v>3.3</v>
      </c>
      <c r="E32" s="92">
        <v>1</v>
      </c>
      <c r="F32" s="92" t="s">
        <v>26</v>
      </c>
      <c r="G32" s="92" t="str">
        <f>IF([1]!DataIris[[#This Row],[Largo de sépalo]]&lt;=5.5,"CORTO",IF([1]!DataIris[[#This Row],[Largo de sépalo]]&lt;=6.7,"MEDIANO","LARGO"))</f>
        <v>CORTO</v>
      </c>
      <c r="H32" s="92" t="str">
        <f>IF([1]!DataIris[[#This Row],[Ancho de sépalo]]&lt;=3.2,"ESTRECHO","ANCHO")</f>
        <v>ESTRECHO</v>
      </c>
      <c r="I32" s="92" t="str">
        <f>IF([1]!DataIris[[#This Row],[Largo de pétalo]]&lt;=3,"CORTO",IF([1]!DataIris[[#This Row],[Largo de pétalo]]&lt;=5,"MEDIANO","LARGO"))</f>
        <v>MEDIANO</v>
      </c>
      <c r="J32" s="92" t="str">
        <f>IF([1]!DataIris[[#This Row],[Ancho de pétalo]]&lt;=1.4,"ESTRECHO","ANCHO")</f>
        <v>ESTRECHO</v>
      </c>
      <c r="K32" s="92" t="s">
        <v>27</v>
      </c>
    </row>
    <row r="33" spans="2:11">
      <c r="B33" s="92">
        <v>5</v>
      </c>
      <c r="C33" s="92">
        <v>2</v>
      </c>
      <c r="D33" s="92">
        <v>3.5</v>
      </c>
      <c r="E33" s="92">
        <v>1</v>
      </c>
      <c r="F33" s="92" t="s">
        <v>26</v>
      </c>
      <c r="G33" s="92" t="str">
        <f>IF([1]!DataIris[[#This Row],[Largo de sépalo]]&lt;=5.5,"CORTO",IF([1]!DataIris[[#This Row],[Largo de sépalo]]&lt;=6.7,"MEDIANO","LARGO"))</f>
        <v>CORTO</v>
      </c>
      <c r="H33" s="92" t="str">
        <f>IF([1]!DataIris[[#This Row],[Ancho de sépalo]]&lt;=3.2,"ESTRECHO","ANCHO")</f>
        <v>ESTRECHO</v>
      </c>
      <c r="I33" s="92" t="str">
        <f>IF([1]!DataIris[[#This Row],[Largo de pétalo]]&lt;=3,"CORTO",IF([1]!DataIris[[#This Row],[Largo de pétalo]]&lt;=5,"MEDIANO","LARGO"))</f>
        <v>MEDIANO</v>
      </c>
      <c r="J33" s="92" t="str">
        <f>IF([1]!DataIris[[#This Row],[Ancho de pétalo]]&lt;=1.4,"ESTRECHO","ANCHO")</f>
        <v>ESTRECHO</v>
      </c>
      <c r="K33" s="92" t="s">
        <v>26</v>
      </c>
    </row>
    <row r="34" spans="2:11">
      <c r="B34" s="92">
        <v>5.0999999999999996</v>
      </c>
      <c r="C34" s="92">
        <v>3.5</v>
      </c>
      <c r="D34" s="92">
        <v>1.4</v>
      </c>
      <c r="E34" s="92">
        <v>0.2</v>
      </c>
      <c r="F34" s="92" t="s">
        <v>25</v>
      </c>
      <c r="G34" s="92" t="str">
        <f>IF([1]!DataIris[[#This Row],[Largo de sépalo]]&lt;=5.5,"CORTO",IF([1]!DataIris[[#This Row],[Largo de sépalo]]&lt;=6.7,"MEDIANO","LARGO"))</f>
        <v>CORTO</v>
      </c>
      <c r="H34" s="92" t="str">
        <f>IF([1]!DataIris[[#This Row],[Ancho de sépalo]]&lt;=3.2,"ESTRECHO","ANCHO")</f>
        <v>ANCHO</v>
      </c>
      <c r="I34" s="92" t="str">
        <f>IF([1]!DataIris[[#This Row],[Largo de pétalo]]&lt;=3,"CORTO",IF([1]!DataIris[[#This Row],[Largo de pétalo]]&lt;=5,"MEDIANO","LARGO"))</f>
        <v>CORTO</v>
      </c>
      <c r="J34" s="92" t="str">
        <f>IF([1]!DataIris[[#This Row],[Ancho de pétalo]]&lt;=1.4,"ESTRECHO","ANCHO")</f>
        <v>ESTRECHO</v>
      </c>
      <c r="K34" s="92" t="s">
        <v>27</v>
      </c>
    </row>
    <row r="35" spans="2:11">
      <c r="B35" s="92">
        <v>5.0999999999999996</v>
      </c>
      <c r="C35" s="92">
        <v>3.4</v>
      </c>
      <c r="D35" s="92">
        <v>1.5</v>
      </c>
      <c r="E35" s="92">
        <v>0.2</v>
      </c>
      <c r="F35" s="92" t="s">
        <v>25</v>
      </c>
      <c r="G35" s="92" t="str">
        <f>IF([1]!DataIris[[#This Row],[Largo de sépalo]]&lt;=5.5,"CORTO",IF([1]!DataIris[[#This Row],[Largo de sépalo]]&lt;=6.7,"MEDIANO","LARGO"))</f>
        <v>CORTO</v>
      </c>
      <c r="H35" s="92" t="str">
        <f>IF([1]!DataIris[[#This Row],[Ancho de sépalo]]&lt;=3.2,"ESTRECHO","ANCHO")</f>
        <v>ANCHO</v>
      </c>
      <c r="I35" s="92" t="str">
        <f>IF([1]!DataIris[[#This Row],[Largo de pétalo]]&lt;=3,"CORTO",IF([1]!DataIris[[#This Row],[Largo de pétalo]]&lt;=5,"MEDIANO","LARGO"))</f>
        <v>CORTO</v>
      </c>
      <c r="J35" s="92" t="str">
        <f>IF([1]!DataIris[[#This Row],[Ancho de pétalo]]&lt;=1.4,"ESTRECHO","ANCHO")</f>
        <v>ESTRECHO</v>
      </c>
      <c r="K35" s="92" t="s">
        <v>27</v>
      </c>
    </row>
    <row r="36" spans="2:11">
      <c r="B36" s="92">
        <v>5.0999999999999996</v>
      </c>
      <c r="C36" s="92">
        <v>3.8</v>
      </c>
      <c r="D36" s="92">
        <v>1.6</v>
      </c>
      <c r="E36" s="92">
        <v>0.2</v>
      </c>
      <c r="F36" s="92" t="s">
        <v>25</v>
      </c>
      <c r="G36" s="92" t="str">
        <f>IF([1]!DataIris[[#This Row],[Largo de sépalo]]&lt;=5.5,"CORTO",IF([1]!DataIris[[#This Row],[Largo de sépalo]]&lt;=6.7,"MEDIANO","LARGO"))</f>
        <v>CORTO</v>
      </c>
      <c r="H36" s="92" t="str">
        <f>IF([1]!DataIris[[#This Row],[Ancho de sépalo]]&lt;=3.2,"ESTRECHO","ANCHO")</f>
        <v>ANCHO</v>
      </c>
      <c r="I36" s="92" t="str">
        <f>IF([1]!DataIris[[#This Row],[Largo de pétalo]]&lt;=3,"CORTO",IF([1]!DataIris[[#This Row],[Largo de pétalo]]&lt;=5,"MEDIANO","LARGO"))</f>
        <v>CORTO</v>
      </c>
      <c r="J36" s="92" t="str">
        <f>IF([1]!DataIris[[#This Row],[Ancho de pétalo]]&lt;=1.4,"ESTRECHO","ANCHO")</f>
        <v>ESTRECHO</v>
      </c>
      <c r="K36" s="92" t="s">
        <v>27</v>
      </c>
    </row>
    <row r="37" spans="2:11">
      <c r="B37" s="92">
        <v>5.0999999999999996</v>
      </c>
      <c r="C37" s="92">
        <v>3.5</v>
      </c>
      <c r="D37" s="92">
        <v>1.4</v>
      </c>
      <c r="E37" s="92">
        <v>0.3</v>
      </c>
      <c r="F37" s="92" t="s">
        <v>25</v>
      </c>
      <c r="G37" s="92" t="str">
        <f>IF([1]!DataIris[[#This Row],[Largo de sépalo]]&lt;=5.5,"CORTO",IF([1]!DataIris[[#This Row],[Largo de sépalo]]&lt;=6.7,"MEDIANO","LARGO"))</f>
        <v>CORTO</v>
      </c>
      <c r="H37" s="92" t="str">
        <f>IF([1]!DataIris[[#This Row],[Ancho de sépalo]]&lt;=3.2,"ESTRECHO","ANCHO")</f>
        <v>ANCHO</v>
      </c>
      <c r="I37" s="92" t="str">
        <f>IF([1]!DataIris[[#This Row],[Largo de pétalo]]&lt;=3,"CORTO",IF([1]!DataIris[[#This Row],[Largo de pétalo]]&lt;=5,"MEDIANO","LARGO"))</f>
        <v>CORTO</v>
      </c>
      <c r="J37" s="92" t="str">
        <f>IF([1]!DataIris[[#This Row],[Ancho de pétalo]]&lt;=1.4,"ESTRECHO","ANCHO")</f>
        <v>ESTRECHO</v>
      </c>
      <c r="K37" s="92" t="s">
        <v>27</v>
      </c>
    </row>
    <row r="38" spans="2:11">
      <c r="B38" s="92">
        <v>5.0999999999999996</v>
      </c>
      <c r="C38" s="92">
        <v>3.8</v>
      </c>
      <c r="D38" s="92">
        <v>1.5</v>
      </c>
      <c r="E38" s="92">
        <v>0.3</v>
      </c>
      <c r="F38" s="92" t="s">
        <v>25</v>
      </c>
      <c r="G38" s="92" t="str">
        <f>IF([1]!DataIris[[#This Row],[Largo de sépalo]]&lt;=5.5,"CORTO",IF([1]!DataIris[[#This Row],[Largo de sépalo]]&lt;=6.7,"MEDIANO","LARGO"))</f>
        <v>CORTO</v>
      </c>
      <c r="H38" s="92" t="str">
        <f>IF([1]!DataIris[[#This Row],[Ancho de sépalo]]&lt;=3.2,"ESTRECHO","ANCHO")</f>
        <v>ANCHO</v>
      </c>
      <c r="I38" s="92" t="str">
        <f>IF([1]!DataIris[[#This Row],[Largo de pétalo]]&lt;=3,"CORTO",IF([1]!DataIris[[#This Row],[Largo de pétalo]]&lt;=5,"MEDIANO","LARGO"))</f>
        <v>CORTO</v>
      </c>
      <c r="J38" s="92" t="str">
        <f>IF([1]!DataIris[[#This Row],[Ancho de pétalo]]&lt;=1.4,"ESTRECHO","ANCHO")</f>
        <v>ESTRECHO</v>
      </c>
      <c r="K38" s="92" t="s">
        <v>27</v>
      </c>
    </row>
    <row r="39" spans="2:11">
      <c r="B39" s="92">
        <v>5.0999999999999996</v>
      </c>
      <c r="C39" s="92">
        <v>3.7</v>
      </c>
      <c r="D39" s="92">
        <v>1.5</v>
      </c>
      <c r="E39" s="92">
        <v>0.4</v>
      </c>
      <c r="F39" s="92" t="s">
        <v>25</v>
      </c>
      <c r="G39" s="92" t="str">
        <f>IF([1]!DataIris[[#This Row],[Largo de sépalo]]&lt;=5.5,"CORTO",IF([1]!DataIris[[#This Row],[Largo de sépalo]]&lt;=6.7,"MEDIANO","LARGO"))</f>
        <v>CORTO</v>
      </c>
      <c r="H39" s="92" t="str">
        <f>IF([1]!DataIris[[#This Row],[Ancho de sépalo]]&lt;=3.2,"ESTRECHO","ANCHO")</f>
        <v>ANCHO</v>
      </c>
      <c r="I39" s="92" t="str">
        <f>IF([1]!DataIris[[#This Row],[Largo de pétalo]]&lt;=3,"CORTO",IF([1]!DataIris[[#This Row],[Largo de pétalo]]&lt;=5,"MEDIANO","LARGO"))</f>
        <v>CORTO</v>
      </c>
      <c r="J39" s="92" t="str">
        <f>IF([1]!DataIris[[#This Row],[Ancho de pétalo]]&lt;=1.4,"ESTRECHO","ANCHO")</f>
        <v>ESTRECHO</v>
      </c>
      <c r="K39" s="92" t="s">
        <v>27</v>
      </c>
    </row>
    <row r="40" spans="2:11">
      <c r="B40" s="92">
        <v>5.0999999999999996</v>
      </c>
      <c r="C40" s="92">
        <v>3.8</v>
      </c>
      <c r="D40" s="92">
        <v>1.9</v>
      </c>
      <c r="E40" s="92">
        <v>0.4</v>
      </c>
      <c r="F40" s="92" t="s">
        <v>25</v>
      </c>
      <c r="G40" s="92" t="str">
        <f>IF([1]!DataIris[[#This Row],[Largo de sépalo]]&lt;=5.5,"CORTO",IF([1]!DataIris[[#This Row],[Largo de sépalo]]&lt;=6.7,"MEDIANO","LARGO"))</f>
        <v>CORTO</v>
      </c>
      <c r="H40" s="92" t="str">
        <f>IF([1]!DataIris[[#This Row],[Ancho de sépalo]]&lt;=3.2,"ESTRECHO","ANCHO")</f>
        <v>ANCHO</v>
      </c>
      <c r="I40" s="92" t="str">
        <f>IF([1]!DataIris[[#This Row],[Largo de pétalo]]&lt;=3,"CORTO",IF([1]!DataIris[[#This Row],[Largo de pétalo]]&lt;=5,"MEDIANO","LARGO"))</f>
        <v>CORTO</v>
      </c>
      <c r="J40" s="92" t="str">
        <f>IF([1]!DataIris[[#This Row],[Ancho de pétalo]]&lt;=1.4,"ESTRECHO","ANCHO")</f>
        <v>ESTRECHO</v>
      </c>
      <c r="K40" s="92" t="s">
        <v>27</v>
      </c>
    </row>
    <row r="41" spans="2:11">
      <c r="B41" s="92">
        <v>5.0999999999999996</v>
      </c>
      <c r="C41" s="92">
        <v>3.3</v>
      </c>
      <c r="D41" s="92">
        <v>1.7</v>
      </c>
      <c r="E41" s="92">
        <v>0.5</v>
      </c>
      <c r="F41" s="92" t="s">
        <v>25</v>
      </c>
      <c r="G41" s="92" t="str">
        <f>IF([1]!DataIris[[#This Row],[Largo de sépalo]]&lt;=5.5,"CORTO",IF([1]!DataIris[[#This Row],[Largo de sépalo]]&lt;=6.7,"MEDIANO","LARGO"))</f>
        <v>CORTO</v>
      </c>
      <c r="H41" s="92" t="str">
        <f>IF([1]!DataIris[[#This Row],[Ancho de sépalo]]&lt;=3.2,"ESTRECHO","ANCHO")</f>
        <v>ANCHO</v>
      </c>
      <c r="I41" s="92" t="str">
        <f>IF([1]!DataIris[[#This Row],[Largo de pétalo]]&lt;=3,"CORTO",IF([1]!DataIris[[#This Row],[Largo de pétalo]]&lt;=5,"MEDIANO","LARGO"))</f>
        <v>CORTO</v>
      </c>
      <c r="J41" s="92" t="str">
        <f>IF([1]!DataIris[[#This Row],[Ancho de pétalo]]&lt;=1.4,"ESTRECHO","ANCHO")</f>
        <v>ESTRECHO</v>
      </c>
      <c r="K41" s="92" t="s">
        <v>27</v>
      </c>
    </row>
    <row r="42" spans="2:11">
      <c r="B42" s="92">
        <v>5.0999999999999996</v>
      </c>
      <c r="C42" s="92">
        <v>2.5</v>
      </c>
      <c r="D42" s="92">
        <v>3</v>
      </c>
      <c r="E42" s="92">
        <v>1.1000000000000001</v>
      </c>
      <c r="F42" s="92" t="s">
        <v>26</v>
      </c>
      <c r="G42" s="92" t="str">
        <f>IF([1]!DataIris[[#This Row],[Largo de sépalo]]&lt;=5.5,"CORTO",IF([1]!DataIris[[#This Row],[Largo de sépalo]]&lt;=6.7,"MEDIANO","LARGO"))</f>
        <v>CORTO</v>
      </c>
      <c r="H42" s="92" t="str">
        <f>IF([1]!DataIris[[#This Row],[Ancho de sépalo]]&lt;=3.2,"ESTRECHO","ANCHO")</f>
        <v>ESTRECHO</v>
      </c>
      <c r="I42" s="92" t="str">
        <f>IF([1]!DataIris[[#This Row],[Largo de pétalo]]&lt;=3,"CORTO",IF([1]!DataIris[[#This Row],[Largo de pétalo]]&lt;=5,"MEDIANO","LARGO"))</f>
        <v>CORTO</v>
      </c>
      <c r="J42" s="92" t="str">
        <f>IF([1]!DataIris[[#This Row],[Ancho de pétalo]]&lt;=1.4,"ESTRECHO","ANCHO")</f>
        <v>ESTRECHO</v>
      </c>
      <c r="K42" s="92" t="s">
        <v>25</v>
      </c>
    </row>
    <row r="43" spans="2:11">
      <c r="B43" s="92">
        <v>5.2</v>
      </c>
      <c r="C43" s="92">
        <v>4.0999999999999996</v>
      </c>
      <c r="D43" s="92">
        <v>1.5</v>
      </c>
      <c r="E43" s="92">
        <v>0.1</v>
      </c>
      <c r="F43" s="92" t="s">
        <v>25</v>
      </c>
      <c r="G43" s="92" t="str">
        <f>IF([1]!DataIris[[#This Row],[Largo de sépalo]]&lt;=5.5,"CORTO",IF([1]!DataIris[[#This Row],[Largo de sépalo]]&lt;=6.7,"MEDIANO","LARGO"))</f>
        <v>CORTO</v>
      </c>
      <c r="H43" s="92" t="str">
        <f>IF([1]!DataIris[[#This Row],[Ancho de sépalo]]&lt;=3.2,"ESTRECHO","ANCHO")</f>
        <v>ANCHO</v>
      </c>
      <c r="I43" s="92" t="str">
        <f>IF([1]!DataIris[[#This Row],[Largo de pétalo]]&lt;=3,"CORTO",IF([1]!DataIris[[#This Row],[Largo de pétalo]]&lt;=5,"MEDIANO","LARGO"))</f>
        <v>CORTO</v>
      </c>
      <c r="J43" s="92" t="str">
        <f>IF([1]!DataIris[[#This Row],[Ancho de pétalo]]&lt;=1.4,"ESTRECHO","ANCHO")</f>
        <v>ESTRECHO</v>
      </c>
      <c r="K43" s="92" t="s">
        <v>25</v>
      </c>
    </row>
    <row r="44" spans="2:11">
      <c r="B44" s="92">
        <v>5.2</v>
      </c>
      <c r="C44" s="92">
        <v>3.4</v>
      </c>
      <c r="D44" s="92">
        <v>1.4</v>
      </c>
      <c r="E44" s="92">
        <v>0.2</v>
      </c>
      <c r="F44" s="92" t="s">
        <v>25</v>
      </c>
      <c r="G44" s="92" t="str">
        <f>IF([1]!DataIris[[#This Row],[Largo de sépalo]]&lt;=5.5,"CORTO",IF([1]!DataIris[[#This Row],[Largo de sépalo]]&lt;=6.7,"MEDIANO","LARGO"))</f>
        <v>CORTO</v>
      </c>
      <c r="H44" s="92" t="str">
        <f>IF([1]!DataIris[[#This Row],[Ancho de sépalo]]&lt;=3.2,"ESTRECHO","ANCHO")</f>
        <v>ANCHO</v>
      </c>
      <c r="I44" s="92" t="str">
        <f>IF([1]!DataIris[[#This Row],[Largo de pétalo]]&lt;=3,"CORTO",IF([1]!DataIris[[#This Row],[Largo de pétalo]]&lt;=5,"MEDIANO","LARGO"))</f>
        <v>CORTO</v>
      </c>
      <c r="J44" s="92" t="str">
        <f>IF([1]!DataIris[[#This Row],[Ancho de pétalo]]&lt;=1.4,"ESTRECHO","ANCHO")</f>
        <v>ESTRECHO</v>
      </c>
      <c r="K44" s="92" t="s">
        <v>26</v>
      </c>
    </row>
    <row r="45" spans="2:11">
      <c r="B45" s="92">
        <v>5.2</v>
      </c>
      <c r="C45" s="92">
        <v>3.5</v>
      </c>
      <c r="D45" s="92">
        <v>1.5</v>
      </c>
      <c r="E45" s="92">
        <v>0.2</v>
      </c>
      <c r="F45" s="92" t="s">
        <v>25</v>
      </c>
      <c r="G45" s="92" t="str">
        <f>IF([1]!DataIris[[#This Row],[Largo de sépalo]]&lt;=5.5,"CORTO",IF([1]!DataIris[[#This Row],[Largo de sépalo]]&lt;=6.7,"MEDIANO","LARGO"))</f>
        <v>CORTO</v>
      </c>
      <c r="H45" s="92" t="str">
        <f>IF([1]!DataIris[[#This Row],[Ancho de sépalo]]&lt;=3.2,"ESTRECHO","ANCHO")</f>
        <v>ANCHO</v>
      </c>
      <c r="I45" s="92" t="str">
        <f>IF([1]!DataIris[[#This Row],[Largo de pétalo]]&lt;=3,"CORTO",IF([1]!DataIris[[#This Row],[Largo de pétalo]]&lt;=5,"MEDIANO","LARGO"))</f>
        <v>CORTO</v>
      </c>
      <c r="J45" s="92" t="str">
        <f>IF([1]!DataIris[[#This Row],[Ancho de pétalo]]&lt;=1.4,"ESTRECHO","ANCHO")</f>
        <v>ESTRECHO</v>
      </c>
      <c r="K45" s="92" t="s">
        <v>26</v>
      </c>
    </row>
    <row r="46" spans="2:11">
      <c r="B46" s="92">
        <v>5.2</v>
      </c>
      <c r="C46" s="92">
        <v>2.7</v>
      </c>
      <c r="D46" s="92">
        <v>3.9</v>
      </c>
      <c r="E46" s="92">
        <v>1.4</v>
      </c>
      <c r="F46" s="92" t="s">
        <v>26</v>
      </c>
      <c r="G46" s="92" t="str">
        <f>IF([1]!DataIris[[#This Row],[Largo de sépalo]]&lt;=5.5,"CORTO",IF([1]!DataIris[[#This Row],[Largo de sépalo]]&lt;=6.7,"MEDIANO","LARGO"))</f>
        <v>CORTO</v>
      </c>
      <c r="H46" s="92" t="str">
        <f>IF([1]!DataIris[[#This Row],[Ancho de sépalo]]&lt;=3.2,"ESTRECHO","ANCHO")</f>
        <v>ESTRECHO</v>
      </c>
      <c r="I46" s="92" t="str">
        <f>IF([1]!DataIris[[#This Row],[Largo de pétalo]]&lt;=3,"CORTO",IF([1]!DataIris[[#This Row],[Largo de pétalo]]&lt;=5,"MEDIANO","LARGO"))</f>
        <v>MEDIANO</v>
      </c>
      <c r="J46" s="92" t="str">
        <f>IF([1]!DataIris[[#This Row],[Ancho de pétalo]]&lt;=1.4,"ESTRECHO","ANCHO")</f>
        <v>ESTRECHO</v>
      </c>
      <c r="K46" s="92" t="s">
        <v>26</v>
      </c>
    </row>
    <row r="47" spans="2:11">
      <c r="B47" s="92">
        <v>5.3</v>
      </c>
      <c r="C47" s="92">
        <v>3.7</v>
      </c>
      <c r="D47" s="92">
        <v>1.5</v>
      </c>
      <c r="E47" s="92">
        <v>0.2</v>
      </c>
      <c r="F47" s="92" t="s">
        <v>25</v>
      </c>
      <c r="G47" s="92" t="str">
        <f>IF([1]!DataIris[[#This Row],[Largo de sépalo]]&lt;=5.5,"CORTO",IF([1]!DataIris[[#This Row],[Largo de sépalo]]&lt;=6.7,"MEDIANO","LARGO"))</f>
        <v>CORTO</v>
      </c>
      <c r="H47" s="92" t="str">
        <f>IF([1]!DataIris[[#This Row],[Ancho de sépalo]]&lt;=3.2,"ESTRECHO","ANCHO")</f>
        <v>ANCHO</v>
      </c>
      <c r="I47" s="92" t="str">
        <f>IF([1]!DataIris[[#This Row],[Largo de pétalo]]&lt;=3,"CORTO",IF([1]!DataIris[[#This Row],[Largo de pétalo]]&lt;=5,"MEDIANO","LARGO"))</f>
        <v>CORTO</v>
      </c>
      <c r="J47" s="92" t="str">
        <f>IF([1]!DataIris[[#This Row],[Ancho de pétalo]]&lt;=1.4,"ESTRECHO","ANCHO")</f>
        <v>ESTRECHO</v>
      </c>
      <c r="K47" s="92" t="s">
        <v>27</v>
      </c>
    </row>
    <row r="48" spans="2:11">
      <c r="B48" s="92">
        <v>5.4</v>
      </c>
      <c r="C48" s="92">
        <v>3.7</v>
      </c>
      <c r="D48" s="92">
        <v>1.5</v>
      </c>
      <c r="E48" s="92">
        <v>0.2</v>
      </c>
      <c r="F48" s="92" t="s">
        <v>25</v>
      </c>
      <c r="G48" s="92" t="str">
        <f>IF([1]!DataIris[[#This Row],[Largo de sépalo]]&lt;=5.5,"CORTO",IF([1]!DataIris[[#This Row],[Largo de sépalo]]&lt;=6.7,"MEDIANO","LARGO"))</f>
        <v>CORTO</v>
      </c>
      <c r="H48" s="92" t="str">
        <f>IF([1]!DataIris[[#This Row],[Ancho de sépalo]]&lt;=3.2,"ESTRECHO","ANCHO")</f>
        <v>ANCHO</v>
      </c>
      <c r="I48" s="92" t="str">
        <f>IF([1]!DataIris[[#This Row],[Largo de pétalo]]&lt;=3,"CORTO",IF([1]!DataIris[[#This Row],[Largo de pétalo]]&lt;=5,"MEDIANO","LARGO"))</f>
        <v>CORTO</v>
      </c>
      <c r="J48" s="92" t="str">
        <f>IF([1]!DataIris[[#This Row],[Ancho de pétalo]]&lt;=1.4,"ESTRECHO","ANCHO")</f>
        <v>ESTRECHO</v>
      </c>
      <c r="K48" s="92" t="s">
        <v>25</v>
      </c>
    </row>
    <row r="49" spans="2:11">
      <c r="B49" s="92">
        <v>5.4</v>
      </c>
      <c r="C49" s="92">
        <v>3.4</v>
      </c>
      <c r="D49" s="92">
        <v>1.7</v>
      </c>
      <c r="E49" s="92">
        <v>0.2</v>
      </c>
      <c r="F49" s="92" t="s">
        <v>25</v>
      </c>
      <c r="G49" s="92" t="str">
        <f>IF([1]!DataIris[[#This Row],[Largo de sépalo]]&lt;=5.5,"CORTO",IF([1]!DataIris[[#This Row],[Largo de sépalo]]&lt;=6.7,"MEDIANO","LARGO"))</f>
        <v>CORTO</v>
      </c>
      <c r="H49" s="92" t="str">
        <f>IF([1]!DataIris[[#This Row],[Ancho de sépalo]]&lt;=3.2,"ESTRECHO","ANCHO")</f>
        <v>ANCHO</v>
      </c>
      <c r="I49" s="92" t="str">
        <f>IF([1]!DataIris[[#This Row],[Largo de pétalo]]&lt;=3,"CORTO",IF([1]!DataIris[[#This Row],[Largo de pétalo]]&lt;=5,"MEDIANO","LARGO"))</f>
        <v>CORTO</v>
      </c>
      <c r="J49" s="92" t="str">
        <f>IF([1]!DataIris[[#This Row],[Ancho de pétalo]]&lt;=1.4,"ESTRECHO","ANCHO")</f>
        <v>ESTRECHO</v>
      </c>
      <c r="K49" s="92" t="s">
        <v>25</v>
      </c>
    </row>
    <row r="50" spans="2:11">
      <c r="B50" s="92">
        <v>5.4</v>
      </c>
      <c r="C50" s="92">
        <v>3.9</v>
      </c>
      <c r="D50" s="92">
        <v>1.3</v>
      </c>
      <c r="E50" s="92">
        <v>0.4</v>
      </c>
      <c r="F50" s="92" t="s">
        <v>25</v>
      </c>
      <c r="G50" s="92" t="str">
        <f>IF([1]!DataIris[[#This Row],[Largo de sépalo]]&lt;=5.5,"CORTO",IF([1]!DataIris[[#This Row],[Largo de sépalo]]&lt;=6.7,"MEDIANO","LARGO"))</f>
        <v>CORTO</v>
      </c>
      <c r="H50" s="92" t="str">
        <f>IF([1]!DataIris[[#This Row],[Ancho de sépalo]]&lt;=3.2,"ESTRECHO","ANCHO")</f>
        <v>ANCHO</v>
      </c>
      <c r="I50" s="92" t="str">
        <f>IF([1]!DataIris[[#This Row],[Largo de pétalo]]&lt;=3,"CORTO",IF([1]!DataIris[[#This Row],[Largo de pétalo]]&lt;=5,"MEDIANO","LARGO"))</f>
        <v>CORTO</v>
      </c>
      <c r="J50" s="92" t="str">
        <f>IF([1]!DataIris[[#This Row],[Ancho de pétalo]]&lt;=1.4,"ESTRECHO","ANCHO")</f>
        <v>ESTRECHO</v>
      </c>
      <c r="K50" s="92" t="s">
        <v>26</v>
      </c>
    </row>
    <row r="51" spans="2:11">
      <c r="B51" s="92">
        <v>5.4</v>
      </c>
      <c r="C51" s="92">
        <v>3.4</v>
      </c>
      <c r="D51" s="92">
        <v>1.5</v>
      </c>
      <c r="E51" s="92">
        <v>0.4</v>
      </c>
      <c r="F51" s="92" t="s">
        <v>25</v>
      </c>
      <c r="G51" s="92" t="str">
        <f>IF([1]!DataIris[[#This Row],[Largo de sépalo]]&lt;=5.5,"CORTO",IF([1]!DataIris[[#This Row],[Largo de sépalo]]&lt;=6.7,"MEDIANO","LARGO"))</f>
        <v>CORTO</v>
      </c>
      <c r="H51" s="92" t="str">
        <f>IF([1]!DataIris[[#This Row],[Ancho de sépalo]]&lt;=3.2,"ESTRECHO","ANCHO")</f>
        <v>ANCHO</v>
      </c>
      <c r="I51" s="92" t="str">
        <f>IF([1]!DataIris[[#This Row],[Largo de pétalo]]&lt;=3,"CORTO",IF([1]!DataIris[[#This Row],[Largo de pétalo]]&lt;=5,"MEDIANO","LARGO"))</f>
        <v>CORTO</v>
      </c>
      <c r="J51" s="92" t="str">
        <f>IF([1]!DataIris[[#This Row],[Ancho de pétalo]]&lt;=1.4,"ESTRECHO","ANCHO")</f>
        <v>ESTRECHO</v>
      </c>
      <c r="K51" s="92" t="s">
        <v>26</v>
      </c>
    </row>
    <row r="52" spans="2:11">
      <c r="B52" s="92">
        <v>5.4</v>
      </c>
      <c r="C52" s="92">
        <v>3.9</v>
      </c>
      <c r="D52" s="92">
        <v>1.7</v>
      </c>
      <c r="E52" s="92">
        <v>0.4</v>
      </c>
      <c r="F52" s="92" t="s">
        <v>25</v>
      </c>
      <c r="G52" s="92" t="str">
        <f>IF([1]!DataIris[[#This Row],[Largo de sépalo]]&lt;=5.5,"CORTO",IF([1]!DataIris[[#This Row],[Largo de sépalo]]&lt;=6.7,"MEDIANO","LARGO"))</f>
        <v>CORTO</v>
      </c>
      <c r="H52" s="92" t="str">
        <f>IF([1]!DataIris[[#This Row],[Ancho de sépalo]]&lt;=3.2,"ESTRECHO","ANCHO")</f>
        <v>ANCHO</v>
      </c>
      <c r="I52" s="92" t="str">
        <f>IF([1]!DataIris[[#This Row],[Largo de pétalo]]&lt;=3,"CORTO",IF([1]!DataIris[[#This Row],[Largo de pétalo]]&lt;=5,"MEDIANO","LARGO"))</f>
        <v>CORTO</v>
      </c>
      <c r="J52" s="92" t="str">
        <f>IF([1]!DataIris[[#This Row],[Ancho de pétalo]]&lt;=1.4,"ESTRECHO","ANCHO")</f>
        <v>ESTRECHO</v>
      </c>
      <c r="K52" s="92" t="s">
        <v>26</v>
      </c>
    </row>
    <row r="53" spans="2:11">
      <c r="B53" s="92">
        <v>5.4</v>
      </c>
      <c r="C53" s="92">
        <v>3</v>
      </c>
      <c r="D53" s="92">
        <v>4.5</v>
      </c>
      <c r="E53" s="92">
        <v>1.5</v>
      </c>
      <c r="F53" s="92" t="s">
        <v>26</v>
      </c>
      <c r="G53" s="92" t="str">
        <f>IF([1]!DataIris[[#This Row],[Largo de sépalo]]&lt;=5.5,"CORTO",IF([1]!DataIris[[#This Row],[Largo de sépalo]]&lt;=6.7,"MEDIANO","LARGO"))</f>
        <v>CORTO</v>
      </c>
      <c r="H53" s="92" t="str">
        <f>IF([1]!DataIris[[#This Row],[Ancho de sépalo]]&lt;=3.2,"ESTRECHO","ANCHO")</f>
        <v>ESTRECHO</v>
      </c>
      <c r="I53" s="92" t="str">
        <f>IF([1]!DataIris[[#This Row],[Largo de pétalo]]&lt;=3,"CORTO",IF([1]!DataIris[[#This Row],[Largo de pétalo]]&lt;=5,"MEDIANO","LARGO"))</f>
        <v>MEDIANO</v>
      </c>
      <c r="J53" s="92" t="str">
        <f>IF([1]!DataIris[[#This Row],[Ancho de pétalo]]&lt;=1.4,"ESTRECHO","ANCHO")</f>
        <v>ANCHO</v>
      </c>
      <c r="K53" s="92" t="s">
        <v>26</v>
      </c>
    </row>
    <row r="54" spans="2:11">
      <c r="B54" s="92">
        <v>5.5</v>
      </c>
      <c r="C54" s="92">
        <v>3.5</v>
      </c>
      <c r="D54" s="92">
        <v>1.3</v>
      </c>
      <c r="E54" s="92">
        <v>0.2</v>
      </c>
      <c r="F54" s="92" t="s">
        <v>25</v>
      </c>
      <c r="G54" s="92" t="str">
        <f>IF([1]!DataIris[[#This Row],[Largo de sépalo]]&lt;=5.5,"CORTO",IF([1]!DataIris[[#This Row],[Largo de sépalo]]&lt;=6.7,"MEDIANO","LARGO"))</f>
        <v>CORTO</v>
      </c>
      <c r="H54" s="92" t="str">
        <f>IF([1]!DataIris[[#This Row],[Ancho de sépalo]]&lt;=3.2,"ESTRECHO","ANCHO")</f>
        <v>ANCHO</v>
      </c>
      <c r="I54" s="92" t="str">
        <f>IF([1]!DataIris[[#This Row],[Largo de pétalo]]&lt;=3,"CORTO",IF([1]!DataIris[[#This Row],[Largo de pétalo]]&lt;=5,"MEDIANO","LARGO"))</f>
        <v>CORTO</v>
      </c>
      <c r="J54" s="92" t="str">
        <f>IF([1]!DataIris[[#This Row],[Ancho de pétalo]]&lt;=1.4,"ESTRECHO","ANCHO")</f>
        <v>ESTRECHO</v>
      </c>
      <c r="K54" s="92" t="s">
        <v>26</v>
      </c>
    </row>
    <row r="55" spans="2:11">
      <c r="B55" s="92">
        <v>5.5</v>
      </c>
      <c r="C55" s="92">
        <v>4.2</v>
      </c>
      <c r="D55" s="92">
        <v>1.4</v>
      </c>
      <c r="E55" s="92">
        <v>0.2</v>
      </c>
      <c r="F55" s="92" t="s">
        <v>25</v>
      </c>
      <c r="G55" s="92" t="str">
        <f>IF([1]!DataIris[[#This Row],[Largo de sépalo]]&lt;=5.5,"CORTO",IF([1]!DataIris[[#This Row],[Largo de sépalo]]&lt;=6.7,"MEDIANO","LARGO"))</f>
        <v>CORTO</v>
      </c>
      <c r="H55" s="92" t="str">
        <f>IF([1]!DataIris[[#This Row],[Ancho de sépalo]]&lt;=3.2,"ESTRECHO","ANCHO")</f>
        <v>ANCHO</v>
      </c>
      <c r="I55" s="92" t="str">
        <f>IF([1]!DataIris[[#This Row],[Largo de pétalo]]&lt;=3,"CORTO",IF([1]!DataIris[[#This Row],[Largo de pétalo]]&lt;=5,"MEDIANO","LARGO"))</f>
        <v>CORTO</v>
      </c>
      <c r="J55" s="92" t="str">
        <f>IF([1]!DataIris[[#This Row],[Ancho de pétalo]]&lt;=1.4,"ESTRECHO","ANCHO")</f>
        <v>ESTRECHO</v>
      </c>
      <c r="K55" s="92" t="s">
        <v>26</v>
      </c>
    </row>
    <row r="56" spans="2:11">
      <c r="B56" s="92">
        <v>5.5</v>
      </c>
      <c r="C56" s="92">
        <v>2.4</v>
      </c>
      <c r="D56" s="92">
        <v>3.7</v>
      </c>
      <c r="E56" s="92">
        <v>1</v>
      </c>
      <c r="F56" s="92" t="s">
        <v>26</v>
      </c>
      <c r="G56" s="92" t="str">
        <f>IF([1]!DataIris[[#This Row],[Largo de sépalo]]&lt;=5.5,"CORTO",IF([1]!DataIris[[#This Row],[Largo de sépalo]]&lt;=6.7,"MEDIANO","LARGO"))</f>
        <v>CORTO</v>
      </c>
      <c r="H56" s="92" t="str">
        <f>IF([1]!DataIris[[#This Row],[Ancho de sépalo]]&lt;=3.2,"ESTRECHO","ANCHO")</f>
        <v>ESTRECHO</v>
      </c>
      <c r="I56" s="92" t="str">
        <f>IF([1]!DataIris[[#This Row],[Largo de pétalo]]&lt;=3,"CORTO",IF([1]!DataIris[[#This Row],[Largo de pétalo]]&lt;=5,"MEDIANO","LARGO"))</f>
        <v>MEDIANO</v>
      </c>
      <c r="J56" s="92" t="str">
        <f>IF([1]!DataIris[[#This Row],[Ancho de pétalo]]&lt;=1.4,"ESTRECHO","ANCHO")</f>
        <v>ESTRECHO</v>
      </c>
      <c r="K56" s="92" t="s">
        <v>27</v>
      </c>
    </row>
    <row r="57" spans="2:11">
      <c r="B57" s="92">
        <v>5.5</v>
      </c>
      <c r="C57" s="92">
        <v>2.4</v>
      </c>
      <c r="D57" s="92">
        <v>3.8</v>
      </c>
      <c r="E57" s="92">
        <v>1.1000000000000001</v>
      </c>
      <c r="F57" s="92" t="s">
        <v>26</v>
      </c>
      <c r="G57" s="92" t="str">
        <f>IF([1]!DataIris[[#This Row],[Largo de sépalo]]&lt;=5.5,"CORTO",IF([1]!DataIris[[#This Row],[Largo de sépalo]]&lt;=6.7,"MEDIANO","LARGO"))</f>
        <v>CORTO</v>
      </c>
      <c r="H57" s="92" t="str">
        <f>IF([1]!DataIris[[#This Row],[Ancho de sépalo]]&lt;=3.2,"ESTRECHO","ANCHO")</f>
        <v>ESTRECHO</v>
      </c>
      <c r="I57" s="92" t="str">
        <f>IF([1]!DataIris[[#This Row],[Largo de pétalo]]&lt;=3,"CORTO",IF([1]!DataIris[[#This Row],[Largo de pétalo]]&lt;=5,"MEDIANO","LARGO"))</f>
        <v>MEDIANO</v>
      </c>
      <c r="J57" s="92" t="str">
        <f>IF([1]!DataIris[[#This Row],[Ancho de pétalo]]&lt;=1.4,"ESTRECHO","ANCHO")</f>
        <v>ESTRECHO</v>
      </c>
      <c r="K57" s="92" t="s">
        <v>27</v>
      </c>
    </row>
    <row r="58" spans="2:11">
      <c r="B58" s="92">
        <v>5.5</v>
      </c>
      <c r="C58" s="92">
        <v>2.6</v>
      </c>
      <c r="D58" s="92">
        <v>4.4000000000000004</v>
      </c>
      <c r="E58" s="92">
        <v>1.2</v>
      </c>
      <c r="F58" s="92" t="s">
        <v>26</v>
      </c>
      <c r="G58" s="92" t="str">
        <f>IF([1]!DataIris[[#This Row],[Largo de sépalo]]&lt;=5.5,"CORTO",IF([1]!DataIris[[#This Row],[Largo de sépalo]]&lt;=6.7,"MEDIANO","LARGO"))</f>
        <v>CORTO</v>
      </c>
      <c r="H58" s="92" t="str">
        <f>IF([1]!DataIris[[#This Row],[Ancho de sépalo]]&lt;=3.2,"ESTRECHO","ANCHO")</f>
        <v>ESTRECHO</v>
      </c>
      <c r="I58" s="92" t="str">
        <f>IF([1]!DataIris[[#This Row],[Largo de pétalo]]&lt;=3,"CORTO",IF([1]!DataIris[[#This Row],[Largo de pétalo]]&lt;=5,"MEDIANO","LARGO"))</f>
        <v>MEDIANO</v>
      </c>
      <c r="J58" s="92" t="str">
        <f>IF([1]!DataIris[[#This Row],[Ancho de pétalo]]&lt;=1.4,"ESTRECHO","ANCHO")</f>
        <v>ESTRECHO</v>
      </c>
      <c r="K58" s="92" t="s">
        <v>27</v>
      </c>
    </row>
    <row r="59" spans="2:11">
      <c r="B59" s="92">
        <v>5.5</v>
      </c>
      <c r="C59" s="92">
        <v>2.2999999999999998</v>
      </c>
      <c r="D59" s="92">
        <v>4</v>
      </c>
      <c r="E59" s="92">
        <v>1.3</v>
      </c>
      <c r="F59" s="92" t="s">
        <v>26</v>
      </c>
      <c r="G59" s="92" t="str">
        <f>IF([1]!DataIris[[#This Row],[Largo de sépalo]]&lt;=5.5,"CORTO",IF([1]!DataIris[[#This Row],[Largo de sépalo]]&lt;=6.7,"MEDIANO","LARGO"))</f>
        <v>CORTO</v>
      </c>
      <c r="H59" s="92" t="str">
        <f>IF([1]!DataIris[[#This Row],[Ancho de sépalo]]&lt;=3.2,"ESTRECHO","ANCHO")</f>
        <v>ESTRECHO</v>
      </c>
      <c r="I59" s="92" t="str">
        <f>IF([1]!DataIris[[#This Row],[Largo de pétalo]]&lt;=3,"CORTO",IF([1]!DataIris[[#This Row],[Largo de pétalo]]&lt;=5,"MEDIANO","LARGO"))</f>
        <v>MEDIANO</v>
      </c>
      <c r="J59" s="92" t="str">
        <f>IF([1]!DataIris[[#This Row],[Ancho de pétalo]]&lt;=1.4,"ESTRECHO","ANCHO")</f>
        <v>ESTRECHO</v>
      </c>
      <c r="K59" s="92" t="s">
        <v>26</v>
      </c>
    </row>
    <row r="60" spans="2:11">
      <c r="B60" s="92">
        <v>5.5</v>
      </c>
      <c r="C60" s="92">
        <v>2.5</v>
      </c>
      <c r="D60" s="92">
        <v>4</v>
      </c>
      <c r="E60" s="92">
        <v>1.3</v>
      </c>
      <c r="F60" s="92" t="s">
        <v>26</v>
      </c>
      <c r="G60" s="92" t="str">
        <f>IF([1]!DataIris[[#This Row],[Largo de sépalo]]&lt;=5.5,"CORTO",IF([1]!DataIris[[#This Row],[Largo de sépalo]]&lt;=6.7,"MEDIANO","LARGO"))</f>
        <v>CORTO</v>
      </c>
      <c r="H60" s="92" t="str">
        <f>IF([1]!DataIris[[#This Row],[Ancho de sépalo]]&lt;=3.2,"ESTRECHO","ANCHO")</f>
        <v>ESTRECHO</v>
      </c>
      <c r="I60" s="92" t="str">
        <f>IF([1]!DataIris[[#This Row],[Largo de pétalo]]&lt;=3,"CORTO",IF([1]!DataIris[[#This Row],[Largo de pétalo]]&lt;=5,"MEDIANO","LARGO"))</f>
        <v>MEDIANO</v>
      </c>
      <c r="J60" s="92" t="str">
        <f>IF([1]!DataIris[[#This Row],[Ancho de pétalo]]&lt;=1.4,"ESTRECHO","ANCHO")</f>
        <v>ESTRECHO</v>
      </c>
      <c r="K60" s="92" t="s">
        <v>26</v>
      </c>
    </row>
    <row r="61" spans="2:11">
      <c r="B61" s="92">
        <v>5.6</v>
      </c>
      <c r="C61" s="92">
        <v>2.5</v>
      </c>
      <c r="D61" s="92">
        <v>3.9</v>
      </c>
      <c r="E61" s="92">
        <v>1.1000000000000001</v>
      </c>
      <c r="F61" s="92" t="s">
        <v>26</v>
      </c>
      <c r="G61" s="92" t="str">
        <f>IF([1]!DataIris[[#This Row],[Largo de sépalo]]&lt;=5.5,"CORTO",IF([1]!DataIris[[#This Row],[Largo de sépalo]]&lt;=6.7,"MEDIANO","LARGO"))</f>
        <v>MEDIANO</v>
      </c>
      <c r="H61" s="92" t="str">
        <f>IF([1]!DataIris[[#This Row],[Ancho de sépalo]]&lt;=3.2,"ESTRECHO","ANCHO")</f>
        <v>ESTRECHO</v>
      </c>
      <c r="I61" s="92" t="str">
        <f>IF([1]!DataIris[[#This Row],[Largo de pétalo]]&lt;=3,"CORTO",IF([1]!DataIris[[#This Row],[Largo de pétalo]]&lt;=5,"MEDIANO","LARGO"))</f>
        <v>MEDIANO</v>
      </c>
      <c r="J61" s="92" t="str">
        <f>IF([1]!DataIris[[#This Row],[Ancho de pétalo]]&lt;=1.4,"ESTRECHO","ANCHO")</f>
        <v>ESTRECHO</v>
      </c>
      <c r="K61" s="92" t="s">
        <v>27</v>
      </c>
    </row>
    <row r="62" spans="2:11">
      <c r="B62" s="92">
        <v>5.6</v>
      </c>
      <c r="C62" s="92">
        <v>2.9</v>
      </c>
      <c r="D62" s="92">
        <v>3.6</v>
      </c>
      <c r="E62" s="92">
        <v>1.3</v>
      </c>
      <c r="F62" s="92" t="s">
        <v>26</v>
      </c>
      <c r="G62" s="92" t="str">
        <f>IF([1]!DataIris[[#This Row],[Largo de sépalo]]&lt;=5.5,"CORTO",IF([1]!DataIris[[#This Row],[Largo de sépalo]]&lt;=6.7,"MEDIANO","LARGO"))</f>
        <v>MEDIANO</v>
      </c>
      <c r="H62" s="92" t="str">
        <f>IF([1]!DataIris[[#This Row],[Ancho de sépalo]]&lt;=3.2,"ESTRECHO","ANCHO")</f>
        <v>ESTRECHO</v>
      </c>
      <c r="I62" s="92" t="str">
        <f>IF([1]!DataIris[[#This Row],[Largo de pétalo]]&lt;=3,"CORTO",IF([1]!DataIris[[#This Row],[Largo de pétalo]]&lt;=5,"MEDIANO","LARGO"))</f>
        <v>MEDIANO</v>
      </c>
      <c r="J62" s="92" t="str">
        <f>IF([1]!DataIris[[#This Row],[Ancho de pétalo]]&lt;=1.4,"ESTRECHO","ANCHO")</f>
        <v>ESTRECHO</v>
      </c>
      <c r="K62" s="92" t="s">
        <v>27</v>
      </c>
    </row>
    <row r="63" spans="2:11">
      <c r="B63" s="92">
        <v>5.6</v>
      </c>
      <c r="C63" s="92">
        <v>3</v>
      </c>
      <c r="D63" s="92">
        <v>4.0999999999999996</v>
      </c>
      <c r="E63" s="92">
        <v>1.3</v>
      </c>
      <c r="F63" s="92" t="s">
        <v>26</v>
      </c>
      <c r="G63" s="92" t="str">
        <f>IF([1]!DataIris[[#This Row],[Largo de sépalo]]&lt;=5.5,"CORTO",IF([1]!DataIris[[#This Row],[Largo de sépalo]]&lt;=6.7,"MEDIANO","LARGO"))</f>
        <v>MEDIANO</v>
      </c>
      <c r="H63" s="92" t="str">
        <f>IF([1]!DataIris[[#This Row],[Ancho de sépalo]]&lt;=3.2,"ESTRECHO","ANCHO")</f>
        <v>ESTRECHO</v>
      </c>
      <c r="I63" s="92" t="str">
        <f>IF([1]!DataIris[[#This Row],[Largo de pétalo]]&lt;=3,"CORTO",IF([1]!DataIris[[#This Row],[Largo de pétalo]]&lt;=5,"MEDIANO","LARGO"))</f>
        <v>MEDIANO</v>
      </c>
      <c r="J63" s="92" t="str">
        <f>IF([1]!DataIris[[#This Row],[Ancho de pétalo]]&lt;=1.4,"ESTRECHO","ANCHO")</f>
        <v>ESTRECHO</v>
      </c>
      <c r="K63" s="92" t="s">
        <v>26</v>
      </c>
    </row>
    <row r="64" spans="2:11">
      <c r="B64" s="92">
        <v>5.6</v>
      </c>
      <c r="C64" s="92">
        <v>2.7</v>
      </c>
      <c r="D64" s="92">
        <v>4.2</v>
      </c>
      <c r="E64" s="92">
        <v>1.3</v>
      </c>
      <c r="F64" s="92" t="s">
        <v>26</v>
      </c>
      <c r="G64" s="92" t="str">
        <f>IF([1]!DataIris[[#This Row],[Largo de sépalo]]&lt;=5.5,"CORTO",IF([1]!DataIris[[#This Row],[Largo de sépalo]]&lt;=6.7,"MEDIANO","LARGO"))</f>
        <v>MEDIANO</v>
      </c>
      <c r="H64" s="92" t="str">
        <f>IF([1]!DataIris[[#This Row],[Ancho de sépalo]]&lt;=3.2,"ESTRECHO","ANCHO")</f>
        <v>ESTRECHO</v>
      </c>
      <c r="I64" s="92" t="str">
        <f>IF([1]!DataIris[[#This Row],[Largo de pétalo]]&lt;=3,"CORTO",IF([1]!DataIris[[#This Row],[Largo de pétalo]]&lt;=5,"MEDIANO","LARGO"))</f>
        <v>MEDIANO</v>
      </c>
      <c r="J64" s="92" t="str">
        <f>IF([1]!DataIris[[#This Row],[Ancho de pétalo]]&lt;=1.4,"ESTRECHO","ANCHO")</f>
        <v>ESTRECHO</v>
      </c>
      <c r="K64" s="92" t="s">
        <v>26</v>
      </c>
    </row>
    <row r="65" spans="2:11">
      <c r="B65" s="92">
        <v>5.6</v>
      </c>
      <c r="C65" s="92">
        <v>3</v>
      </c>
      <c r="D65" s="92">
        <v>4.5</v>
      </c>
      <c r="E65" s="92">
        <v>1.5</v>
      </c>
      <c r="F65" s="92" t="s">
        <v>26</v>
      </c>
      <c r="G65" s="92" t="str">
        <f>IF([1]!DataIris[[#This Row],[Largo de sépalo]]&lt;=5.5,"CORTO",IF([1]!DataIris[[#This Row],[Largo de sépalo]]&lt;=6.7,"MEDIANO","LARGO"))</f>
        <v>MEDIANO</v>
      </c>
      <c r="H65" s="92" t="str">
        <f>IF([1]!DataIris[[#This Row],[Ancho de sépalo]]&lt;=3.2,"ESTRECHO","ANCHO")</f>
        <v>ESTRECHO</v>
      </c>
      <c r="I65" s="92" t="str">
        <f>IF([1]!DataIris[[#This Row],[Largo de pétalo]]&lt;=3,"CORTO",IF([1]!DataIris[[#This Row],[Largo de pétalo]]&lt;=5,"MEDIANO","LARGO"))</f>
        <v>MEDIANO</v>
      </c>
      <c r="J65" s="92" t="str">
        <f>IF([1]!DataIris[[#This Row],[Ancho de pétalo]]&lt;=1.4,"ESTRECHO","ANCHO")</f>
        <v>ANCHO</v>
      </c>
      <c r="K65" s="92" t="s">
        <v>26</v>
      </c>
    </row>
    <row r="66" spans="2:11">
      <c r="B66" s="92">
        <v>5.6</v>
      </c>
      <c r="C66" s="92">
        <v>2.8</v>
      </c>
      <c r="D66" s="92">
        <v>4.9000000000000004</v>
      </c>
      <c r="E66" s="92">
        <v>2</v>
      </c>
      <c r="F66" s="92" t="s">
        <v>27</v>
      </c>
      <c r="G66" s="92" t="str">
        <f>IF([1]!DataIris[[#This Row],[Largo de sépalo]]&lt;=5.5,"CORTO",IF([1]!DataIris[[#This Row],[Largo de sépalo]]&lt;=6.7,"MEDIANO","LARGO"))</f>
        <v>MEDIANO</v>
      </c>
      <c r="H66" s="92" t="str">
        <f>IF([1]!DataIris[[#This Row],[Ancho de sépalo]]&lt;=3.2,"ESTRECHO","ANCHO")</f>
        <v>ESTRECHO</v>
      </c>
      <c r="I66" s="92" t="str">
        <f>IF([1]!DataIris[[#This Row],[Largo de pétalo]]&lt;=3,"CORTO",IF([1]!DataIris[[#This Row],[Largo de pétalo]]&lt;=5,"MEDIANO","LARGO"))</f>
        <v>MEDIANO</v>
      </c>
      <c r="J66" s="92" t="str">
        <f>IF([1]!DataIris[[#This Row],[Ancho de pétalo]]&lt;=1.4,"ESTRECHO","ANCHO")</f>
        <v>ANCHO</v>
      </c>
      <c r="K66" s="92" t="s">
        <v>26</v>
      </c>
    </row>
    <row r="67" spans="2:11">
      <c r="B67" s="92">
        <v>5.7</v>
      </c>
      <c r="C67" s="92">
        <v>3.8</v>
      </c>
      <c r="D67" s="92">
        <v>1.7</v>
      </c>
      <c r="E67" s="92">
        <v>0.3</v>
      </c>
      <c r="F67" s="92" t="s">
        <v>25</v>
      </c>
      <c r="G67" s="92" t="str">
        <f>IF([1]!DataIris[[#This Row],[Largo de sépalo]]&lt;=5.5,"CORTO",IF([1]!DataIris[[#This Row],[Largo de sépalo]]&lt;=6.7,"MEDIANO","LARGO"))</f>
        <v>MEDIANO</v>
      </c>
      <c r="H67" s="92" t="str">
        <f>IF([1]!DataIris[[#This Row],[Ancho de sépalo]]&lt;=3.2,"ESTRECHO","ANCHO")</f>
        <v>ANCHO</v>
      </c>
      <c r="I67" s="92" t="str">
        <f>IF([1]!DataIris[[#This Row],[Largo de pétalo]]&lt;=3,"CORTO",IF([1]!DataIris[[#This Row],[Largo de pétalo]]&lt;=5,"MEDIANO","LARGO"))</f>
        <v>CORTO</v>
      </c>
      <c r="J67" s="92" t="str">
        <f>IF([1]!DataIris[[#This Row],[Ancho de pétalo]]&lt;=1.4,"ESTRECHO","ANCHO")</f>
        <v>ESTRECHO</v>
      </c>
      <c r="K67" s="92" t="s">
        <v>27</v>
      </c>
    </row>
    <row r="68" spans="2:11">
      <c r="B68" s="92">
        <v>5.7</v>
      </c>
      <c r="C68" s="92">
        <v>4.4000000000000004</v>
      </c>
      <c r="D68" s="92">
        <v>1.5</v>
      </c>
      <c r="E68" s="92">
        <v>0.4</v>
      </c>
      <c r="F68" s="92" t="s">
        <v>25</v>
      </c>
      <c r="G68" s="92" t="str">
        <f>IF([1]!DataIris[[#This Row],[Largo de sépalo]]&lt;=5.5,"CORTO",IF([1]!DataIris[[#This Row],[Largo de sépalo]]&lt;=6.7,"MEDIANO","LARGO"))</f>
        <v>MEDIANO</v>
      </c>
      <c r="H68" s="92" t="str">
        <f>IF([1]!DataIris[[#This Row],[Ancho de sépalo]]&lt;=3.2,"ESTRECHO","ANCHO")</f>
        <v>ANCHO</v>
      </c>
      <c r="I68" s="92" t="str">
        <f>IF([1]!DataIris[[#This Row],[Largo de pétalo]]&lt;=3,"CORTO",IF([1]!DataIris[[#This Row],[Largo de pétalo]]&lt;=5,"MEDIANO","LARGO"))</f>
        <v>CORTO</v>
      </c>
      <c r="J68" s="92" t="str">
        <f>IF([1]!DataIris[[#This Row],[Ancho de pétalo]]&lt;=1.4,"ESTRECHO","ANCHO")</f>
        <v>ESTRECHO</v>
      </c>
      <c r="K68" s="92" t="s">
        <v>27</v>
      </c>
    </row>
    <row r="69" spans="2:11">
      <c r="B69" s="92">
        <v>5.7</v>
      </c>
      <c r="C69" s="92">
        <v>2.6</v>
      </c>
      <c r="D69" s="92">
        <v>3.5</v>
      </c>
      <c r="E69" s="92">
        <v>1</v>
      </c>
      <c r="F69" s="92" t="s">
        <v>26</v>
      </c>
      <c r="G69" s="92" t="str">
        <f>IF([1]!DataIris[[#This Row],[Largo de sépalo]]&lt;=5.5,"CORTO",IF([1]!DataIris[[#This Row],[Largo de sépalo]]&lt;=6.7,"MEDIANO","LARGO"))</f>
        <v>MEDIANO</v>
      </c>
      <c r="H69" s="92" t="str">
        <f>IF([1]!DataIris[[#This Row],[Ancho de sépalo]]&lt;=3.2,"ESTRECHO","ANCHO")</f>
        <v>ESTRECHO</v>
      </c>
      <c r="I69" s="92" t="str">
        <f>IF([1]!DataIris[[#This Row],[Largo de pétalo]]&lt;=3,"CORTO",IF([1]!DataIris[[#This Row],[Largo de pétalo]]&lt;=5,"MEDIANO","LARGO"))</f>
        <v>MEDIANO</v>
      </c>
      <c r="J69" s="92" t="str">
        <f>IF([1]!DataIris[[#This Row],[Ancho de pétalo]]&lt;=1.4,"ESTRECHO","ANCHO")</f>
        <v>ESTRECHO</v>
      </c>
      <c r="K69" s="92" t="s">
        <v>26</v>
      </c>
    </row>
    <row r="70" spans="2:11">
      <c r="B70" s="92">
        <v>5.7</v>
      </c>
      <c r="C70" s="92">
        <v>3</v>
      </c>
      <c r="D70" s="92">
        <v>4.2</v>
      </c>
      <c r="E70" s="92">
        <v>1.2</v>
      </c>
      <c r="F70" s="92" t="s">
        <v>26</v>
      </c>
      <c r="G70" s="92" t="str">
        <f>IF([1]!DataIris[[#This Row],[Largo de sépalo]]&lt;=5.5,"CORTO",IF([1]!DataIris[[#This Row],[Largo de sépalo]]&lt;=6.7,"MEDIANO","LARGO"))</f>
        <v>MEDIANO</v>
      </c>
      <c r="H70" s="92" t="str">
        <f>IF([1]!DataIris[[#This Row],[Ancho de sépalo]]&lt;=3.2,"ESTRECHO","ANCHO")</f>
        <v>ESTRECHO</v>
      </c>
      <c r="I70" s="92" t="str">
        <f>IF([1]!DataIris[[#This Row],[Largo de pétalo]]&lt;=3,"CORTO",IF([1]!DataIris[[#This Row],[Largo de pétalo]]&lt;=5,"MEDIANO","LARGO"))</f>
        <v>MEDIANO</v>
      </c>
      <c r="J70" s="92" t="str">
        <f>IF([1]!DataIris[[#This Row],[Ancho de pétalo]]&lt;=1.4,"ESTRECHO","ANCHO")</f>
        <v>ESTRECHO</v>
      </c>
      <c r="K70" s="92" t="s">
        <v>26</v>
      </c>
    </row>
    <row r="71" spans="2:11">
      <c r="B71" s="92">
        <v>5.7</v>
      </c>
      <c r="C71" s="92">
        <v>2.8</v>
      </c>
      <c r="D71" s="92">
        <v>4.0999999999999996</v>
      </c>
      <c r="E71" s="92">
        <v>1.3</v>
      </c>
      <c r="F71" s="92" t="s">
        <v>26</v>
      </c>
      <c r="G71" s="92" t="str">
        <f>IF([1]!DataIris[[#This Row],[Largo de sépalo]]&lt;=5.5,"CORTO",IF([1]!DataIris[[#This Row],[Largo de sépalo]]&lt;=6.7,"MEDIANO","LARGO"))</f>
        <v>MEDIANO</v>
      </c>
      <c r="H71" s="92" t="str">
        <f>IF([1]!DataIris[[#This Row],[Ancho de sépalo]]&lt;=3.2,"ESTRECHO","ANCHO")</f>
        <v>ESTRECHO</v>
      </c>
      <c r="I71" s="92" t="str">
        <f>IF([1]!DataIris[[#This Row],[Largo de pétalo]]&lt;=3,"CORTO",IF([1]!DataIris[[#This Row],[Largo de pétalo]]&lt;=5,"MEDIANO","LARGO"))</f>
        <v>MEDIANO</v>
      </c>
      <c r="J71" s="92" t="str">
        <f>IF([1]!DataIris[[#This Row],[Ancho de pétalo]]&lt;=1.4,"ESTRECHO","ANCHO")</f>
        <v>ESTRECHO</v>
      </c>
      <c r="K71" s="92" t="s">
        <v>26</v>
      </c>
    </row>
    <row r="72" spans="2:11">
      <c r="B72" s="92">
        <v>5.7</v>
      </c>
      <c r="C72" s="92">
        <v>2.9</v>
      </c>
      <c r="D72" s="92">
        <v>4.2</v>
      </c>
      <c r="E72" s="92">
        <v>1.3</v>
      </c>
      <c r="F72" s="92" t="s">
        <v>26</v>
      </c>
      <c r="G72" s="92" t="str">
        <f>IF([1]!DataIris[[#This Row],[Largo de sépalo]]&lt;=5.5,"CORTO",IF([1]!DataIris[[#This Row],[Largo de sépalo]]&lt;=6.7,"MEDIANO","LARGO"))</f>
        <v>MEDIANO</v>
      </c>
      <c r="H72" s="92" t="str">
        <f>IF([1]!DataIris[[#This Row],[Ancho de sépalo]]&lt;=3.2,"ESTRECHO","ANCHO")</f>
        <v>ESTRECHO</v>
      </c>
      <c r="I72" s="92" t="str">
        <f>IF([1]!DataIris[[#This Row],[Largo de pétalo]]&lt;=3,"CORTO",IF([1]!DataIris[[#This Row],[Largo de pétalo]]&lt;=5,"MEDIANO","LARGO"))</f>
        <v>MEDIANO</v>
      </c>
      <c r="J72" s="92" t="str">
        <f>IF([1]!DataIris[[#This Row],[Ancho de pétalo]]&lt;=1.4,"ESTRECHO","ANCHO")</f>
        <v>ESTRECHO</v>
      </c>
      <c r="K72" s="92" t="s">
        <v>26</v>
      </c>
    </row>
    <row r="73" spans="2:11">
      <c r="B73" s="92">
        <v>5.7</v>
      </c>
      <c r="C73" s="92">
        <v>2.8</v>
      </c>
      <c r="D73" s="92">
        <v>4.5</v>
      </c>
      <c r="E73" s="92">
        <v>1.3</v>
      </c>
      <c r="F73" s="92" t="s">
        <v>26</v>
      </c>
      <c r="G73" s="92" t="str">
        <f>IF([1]!DataIris[[#This Row],[Largo de sépalo]]&lt;=5.5,"CORTO",IF([1]!DataIris[[#This Row],[Largo de sépalo]]&lt;=6.7,"MEDIANO","LARGO"))</f>
        <v>MEDIANO</v>
      </c>
      <c r="H73" s="92" t="str">
        <f>IF([1]!DataIris[[#This Row],[Ancho de sépalo]]&lt;=3.2,"ESTRECHO","ANCHO")</f>
        <v>ESTRECHO</v>
      </c>
      <c r="I73" s="92" t="str">
        <f>IF([1]!DataIris[[#This Row],[Largo de pétalo]]&lt;=3,"CORTO",IF([1]!DataIris[[#This Row],[Largo de pétalo]]&lt;=5,"MEDIANO","LARGO"))</f>
        <v>MEDIANO</v>
      </c>
      <c r="J73" s="92" t="str">
        <f>IF([1]!DataIris[[#This Row],[Ancho de pétalo]]&lt;=1.4,"ESTRECHO","ANCHO")</f>
        <v>ESTRECHO</v>
      </c>
      <c r="K73" s="92" t="s">
        <v>27</v>
      </c>
    </row>
    <row r="74" spans="2:11">
      <c r="B74" s="92">
        <v>5.7</v>
      </c>
      <c r="C74" s="92">
        <v>2.5</v>
      </c>
      <c r="D74" s="92">
        <v>5</v>
      </c>
      <c r="E74" s="92">
        <v>2</v>
      </c>
      <c r="F74" s="92" t="s">
        <v>27</v>
      </c>
      <c r="G74" s="92" t="str">
        <f>IF([1]!DataIris[[#This Row],[Largo de sépalo]]&lt;=5.5,"CORTO",IF([1]!DataIris[[#This Row],[Largo de sépalo]]&lt;=6.7,"MEDIANO","LARGO"))</f>
        <v>MEDIANO</v>
      </c>
      <c r="H74" s="92" t="str">
        <f>IF([1]!DataIris[[#This Row],[Ancho de sépalo]]&lt;=3.2,"ESTRECHO","ANCHO")</f>
        <v>ESTRECHO</v>
      </c>
      <c r="I74" s="92" t="str">
        <f>IF([1]!DataIris[[#This Row],[Largo de pétalo]]&lt;=3,"CORTO",IF([1]!DataIris[[#This Row],[Largo de pétalo]]&lt;=5,"MEDIANO","LARGO"))</f>
        <v>MEDIANO</v>
      </c>
      <c r="J74" s="92" t="str">
        <f>IF([1]!DataIris[[#This Row],[Ancho de pétalo]]&lt;=1.4,"ESTRECHO","ANCHO")</f>
        <v>ANCHO</v>
      </c>
      <c r="K74" s="92" t="s">
        <v>27</v>
      </c>
    </row>
    <row r="75" spans="2:11">
      <c r="B75" s="92">
        <v>5.8</v>
      </c>
      <c r="C75" s="92">
        <v>4</v>
      </c>
      <c r="D75" s="92">
        <v>1.2</v>
      </c>
      <c r="E75" s="92">
        <v>0.2</v>
      </c>
      <c r="F75" s="92" t="s">
        <v>25</v>
      </c>
      <c r="G75" s="92" t="str">
        <f>IF([1]!DataIris[[#This Row],[Largo de sépalo]]&lt;=5.5,"CORTO",IF([1]!DataIris[[#This Row],[Largo de sépalo]]&lt;=6.7,"MEDIANO","LARGO"))</f>
        <v>MEDIANO</v>
      </c>
      <c r="H75" s="92" t="str">
        <f>IF([1]!DataIris[[#This Row],[Ancho de sépalo]]&lt;=3.2,"ESTRECHO","ANCHO")</f>
        <v>ANCHO</v>
      </c>
      <c r="I75" s="92" t="str">
        <f>IF([1]!DataIris[[#This Row],[Largo de pétalo]]&lt;=3,"CORTO",IF([1]!DataIris[[#This Row],[Largo de pétalo]]&lt;=5,"MEDIANO","LARGO"))</f>
        <v>CORTO</v>
      </c>
      <c r="J75" s="92" t="str">
        <f>IF([1]!DataIris[[#This Row],[Ancho de pétalo]]&lt;=1.4,"ESTRECHO","ANCHO")</f>
        <v>ESTRECHO</v>
      </c>
      <c r="K75" s="92" t="s">
        <v>26</v>
      </c>
    </row>
    <row r="76" spans="2:11">
      <c r="B76" s="92">
        <v>5.8</v>
      </c>
      <c r="C76" s="92">
        <v>2.7</v>
      </c>
      <c r="D76" s="92">
        <v>4.0999999999999996</v>
      </c>
      <c r="E76" s="92">
        <v>1</v>
      </c>
      <c r="F76" s="92" t="s">
        <v>26</v>
      </c>
      <c r="G76" s="92" t="str">
        <f>IF([1]!DataIris[[#This Row],[Largo de sépalo]]&lt;=5.5,"CORTO",IF([1]!DataIris[[#This Row],[Largo de sépalo]]&lt;=6.7,"MEDIANO","LARGO"))</f>
        <v>MEDIANO</v>
      </c>
      <c r="H76" s="92" t="str">
        <f>IF([1]!DataIris[[#This Row],[Ancho de sépalo]]&lt;=3.2,"ESTRECHO","ANCHO")</f>
        <v>ESTRECHO</v>
      </c>
      <c r="I76" s="92" t="str">
        <f>IF([1]!DataIris[[#This Row],[Largo de pétalo]]&lt;=3,"CORTO",IF([1]!DataIris[[#This Row],[Largo de pétalo]]&lt;=5,"MEDIANO","LARGO"))</f>
        <v>MEDIANO</v>
      </c>
      <c r="J76" s="92" t="str">
        <f>IF([1]!DataIris[[#This Row],[Ancho de pétalo]]&lt;=1.4,"ESTRECHO","ANCHO")</f>
        <v>ESTRECHO</v>
      </c>
      <c r="K76" s="92" t="s">
        <v>27</v>
      </c>
    </row>
    <row r="77" spans="2:11">
      <c r="B77" s="92">
        <v>5.8</v>
      </c>
      <c r="C77" s="92">
        <v>2.7</v>
      </c>
      <c r="D77" s="92">
        <v>3.9</v>
      </c>
      <c r="E77" s="92">
        <v>1.2</v>
      </c>
      <c r="F77" s="92" t="s">
        <v>26</v>
      </c>
      <c r="G77" s="92" t="str">
        <f>IF([1]!DataIris[[#This Row],[Largo de sépalo]]&lt;=5.5,"CORTO",IF([1]!DataIris[[#This Row],[Largo de sépalo]]&lt;=6.7,"MEDIANO","LARGO"))</f>
        <v>MEDIANO</v>
      </c>
      <c r="H77" s="92" t="str">
        <f>IF([1]!DataIris[[#This Row],[Ancho de sépalo]]&lt;=3.2,"ESTRECHO","ANCHO")</f>
        <v>ESTRECHO</v>
      </c>
      <c r="I77" s="92" t="str">
        <f>IF([1]!DataIris[[#This Row],[Largo de pétalo]]&lt;=3,"CORTO",IF([1]!DataIris[[#This Row],[Largo de pétalo]]&lt;=5,"MEDIANO","LARGO"))</f>
        <v>MEDIANO</v>
      </c>
      <c r="J77" s="92" t="str">
        <f>IF([1]!DataIris[[#This Row],[Ancho de pétalo]]&lt;=1.4,"ESTRECHO","ANCHO")</f>
        <v>ESTRECHO</v>
      </c>
      <c r="K77" s="92" t="s">
        <v>26</v>
      </c>
    </row>
    <row r="78" spans="2:11">
      <c r="B78" s="92">
        <v>5.8</v>
      </c>
      <c r="C78" s="92">
        <v>2.6</v>
      </c>
      <c r="D78" s="92">
        <v>4</v>
      </c>
      <c r="E78" s="92">
        <v>1.2</v>
      </c>
      <c r="F78" s="92" t="s">
        <v>26</v>
      </c>
      <c r="G78" s="92" t="str">
        <f>IF([1]!DataIris[[#This Row],[Largo de sépalo]]&lt;=5.5,"CORTO",IF([1]!DataIris[[#This Row],[Largo de sépalo]]&lt;=6.7,"MEDIANO","LARGO"))</f>
        <v>MEDIANO</v>
      </c>
      <c r="H78" s="92" t="str">
        <f>IF([1]!DataIris[[#This Row],[Ancho de sépalo]]&lt;=3.2,"ESTRECHO","ANCHO")</f>
        <v>ESTRECHO</v>
      </c>
      <c r="I78" s="92" t="str">
        <f>IF([1]!DataIris[[#This Row],[Largo de pétalo]]&lt;=3,"CORTO",IF([1]!DataIris[[#This Row],[Largo de pétalo]]&lt;=5,"MEDIANO","LARGO"))</f>
        <v>MEDIANO</v>
      </c>
      <c r="J78" s="92" t="str">
        <f>IF([1]!DataIris[[#This Row],[Ancho de pétalo]]&lt;=1.4,"ESTRECHO","ANCHO")</f>
        <v>ESTRECHO</v>
      </c>
      <c r="K78" s="92" t="s">
        <v>26</v>
      </c>
    </row>
    <row r="79" spans="2:11">
      <c r="B79" s="92">
        <v>5.8</v>
      </c>
      <c r="C79" s="92">
        <v>2.7</v>
      </c>
      <c r="D79" s="92">
        <v>5.0999999999999996</v>
      </c>
      <c r="E79" s="92">
        <v>1.9</v>
      </c>
      <c r="F79" s="92" t="s">
        <v>27</v>
      </c>
      <c r="G79" s="92" t="str">
        <f>IF([1]!DataIris[[#This Row],[Largo de sépalo]]&lt;=5.5,"CORTO",IF([1]!DataIris[[#This Row],[Largo de sépalo]]&lt;=6.7,"MEDIANO","LARGO"))</f>
        <v>MEDIANO</v>
      </c>
      <c r="H79" s="92" t="str">
        <f>IF([1]!DataIris[[#This Row],[Ancho de sépalo]]&lt;=3.2,"ESTRECHO","ANCHO")</f>
        <v>ESTRECHO</v>
      </c>
      <c r="I79" s="92" t="str">
        <f>IF([1]!DataIris[[#This Row],[Largo de pétalo]]&lt;=3,"CORTO",IF([1]!DataIris[[#This Row],[Largo de pétalo]]&lt;=5,"MEDIANO","LARGO"))</f>
        <v>LARGO</v>
      </c>
      <c r="J79" s="92" t="str">
        <f>IF([1]!DataIris[[#This Row],[Ancho de pétalo]]&lt;=1.4,"ESTRECHO","ANCHO")</f>
        <v>ANCHO</v>
      </c>
      <c r="K79" s="92" t="s">
        <v>27</v>
      </c>
    </row>
    <row r="80" spans="2:11">
      <c r="B80" s="92">
        <v>5.8</v>
      </c>
      <c r="C80" s="92">
        <v>2.7</v>
      </c>
      <c r="D80" s="92">
        <v>5.0999999999999996</v>
      </c>
      <c r="E80" s="92">
        <v>1.9</v>
      </c>
      <c r="F80" s="92" t="s">
        <v>27</v>
      </c>
      <c r="G80" s="92" t="str">
        <f>IF([1]!DataIris[[#This Row],[Largo de sépalo]]&lt;=5.5,"CORTO",IF([1]!DataIris[[#This Row],[Largo de sépalo]]&lt;=6.7,"MEDIANO","LARGO"))</f>
        <v>MEDIANO</v>
      </c>
      <c r="H80" s="92" t="str">
        <f>IF([1]!DataIris[[#This Row],[Ancho de sépalo]]&lt;=3.2,"ESTRECHO","ANCHO")</f>
        <v>ESTRECHO</v>
      </c>
      <c r="I80" s="92" t="str">
        <f>IF([1]!DataIris[[#This Row],[Largo de pétalo]]&lt;=3,"CORTO",IF([1]!DataIris[[#This Row],[Largo de pétalo]]&lt;=5,"MEDIANO","LARGO"))</f>
        <v>LARGO</v>
      </c>
      <c r="J80" s="92" t="str">
        <f>IF([1]!DataIris[[#This Row],[Ancho de pétalo]]&lt;=1.4,"ESTRECHO","ANCHO")</f>
        <v>ANCHO</v>
      </c>
      <c r="K80" s="92" t="s">
        <v>27</v>
      </c>
    </row>
    <row r="81" spans="2:11">
      <c r="B81" s="92">
        <v>5.8</v>
      </c>
      <c r="C81" s="92">
        <v>2.8</v>
      </c>
      <c r="D81" s="92">
        <v>5.0999999999999996</v>
      </c>
      <c r="E81" s="92">
        <v>2.4</v>
      </c>
      <c r="F81" s="92" t="s">
        <v>27</v>
      </c>
      <c r="G81" s="92" t="str">
        <f>IF([1]!DataIris[[#This Row],[Largo de sépalo]]&lt;=5.5,"CORTO",IF([1]!DataIris[[#This Row],[Largo de sépalo]]&lt;=6.7,"MEDIANO","LARGO"))</f>
        <v>MEDIANO</v>
      </c>
      <c r="H81" s="92" t="str">
        <f>IF([1]!DataIris[[#This Row],[Ancho de sépalo]]&lt;=3.2,"ESTRECHO","ANCHO")</f>
        <v>ESTRECHO</v>
      </c>
      <c r="I81" s="92" t="str">
        <f>IF([1]!DataIris[[#This Row],[Largo de pétalo]]&lt;=3,"CORTO",IF([1]!DataIris[[#This Row],[Largo de pétalo]]&lt;=5,"MEDIANO","LARGO"))</f>
        <v>LARGO</v>
      </c>
      <c r="J81" s="92" t="str">
        <f>IF([1]!DataIris[[#This Row],[Ancho de pétalo]]&lt;=1.4,"ESTRECHO","ANCHO")</f>
        <v>ANCHO</v>
      </c>
      <c r="K81" s="92" t="s">
        <v>27</v>
      </c>
    </row>
    <row r="82" spans="2:11">
      <c r="B82" s="92">
        <v>5.9</v>
      </c>
      <c r="C82" s="92">
        <v>3</v>
      </c>
      <c r="D82" s="92">
        <v>4.2</v>
      </c>
      <c r="E82" s="92">
        <v>1.5</v>
      </c>
      <c r="F82" s="92" t="s">
        <v>26</v>
      </c>
      <c r="G82" s="92" t="str">
        <f>IF([1]!DataIris[[#This Row],[Largo de sépalo]]&lt;=5.5,"CORTO",IF([1]!DataIris[[#This Row],[Largo de sépalo]]&lt;=6.7,"MEDIANO","LARGO"))</f>
        <v>MEDIANO</v>
      </c>
      <c r="H82" s="92" t="str">
        <f>IF([1]!DataIris[[#This Row],[Ancho de sépalo]]&lt;=3.2,"ESTRECHO","ANCHO")</f>
        <v>ESTRECHO</v>
      </c>
      <c r="I82" s="92" t="str">
        <f>IF([1]!DataIris[[#This Row],[Largo de pétalo]]&lt;=3,"CORTO",IF([1]!DataIris[[#This Row],[Largo de pétalo]]&lt;=5,"MEDIANO","LARGO"))</f>
        <v>MEDIANO</v>
      </c>
      <c r="J82" s="92" t="str">
        <f>IF([1]!DataIris[[#This Row],[Ancho de pétalo]]&lt;=1.4,"ESTRECHO","ANCHO")</f>
        <v>ANCHO</v>
      </c>
      <c r="K82" s="92" t="s">
        <v>27</v>
      </c>
    </row>
    <row r="83" spans="2:11">
      <c r="B83" s="92">
        <v>5.9</v>
      </c>
      <c r="C83" s="92">
        <v>3.2</v>
      </c>
      <c r="D83" s="92">
        <v>4.8</v>
      </c>
      <c r="E83" s="92">
        <v>1.8</v>
      </c>
      <c r="F83" s="92" t="s">
        <v>26</v>
      </c>
      <c r="G83" s="92" t="str">
        <f>IF([1]!DataIris[[#This Row],[Largo de sépalo]]&lt;=5.5,"CORTO",IF([1]!DataIris[[#This Row],[Largo de sépalo]]&lt;=6.7,"MEDIANO","LARGO"))</f>
        <v>MEDIANO</v>
      </c>
      <c r="H83" s="92" t="str">
        <f>IF([1]!DataIris[[#This Row],[Ancho de sépalo]]&lt;=3.2,"ESTRECHO","ANCHO")</f>
        <v>ESTRECHO</v>
      </c>
      <c r="I83" s="92" t="str">
        <f>IF([1]!DataIris[[#This Row],[Largo de pétalo]]&lt;=3,"CORTO",IF([1]!DataIris[[#This Row],[Largo de pétalo]]&lt;=5,"MEDIANO","LARGO"))</f>
        <v>MEDIANO</v>
      </c>
      <c r="J83" s="92" t="str">
        <f>IF([1]!DataIris[[#This Row],[Ancho de pétalo]]&lt;=1.4,"ESTRECHO","ANCHO")</f>
        <v>ANCHO</v>
      </c>
      <c r="K83" s="92" t="s">
        <v>26</v>
      </c>
    </row>
    <row r="84" spans="2:11">
      <c r="B84" s="92">
        <v>5.9</v>
      </c>
      <c r="C84" s="92">
        <v>3</v>
      </c>
      <c r="D84" s="92">
        <v>5.0999999999999996</v>
      </c>
      <c r="E84" s="92">
        <v>1.8</v>
      </c>
      <c r="F84" s="92" t="s">
        <v>27</v>
      </c>
      <c r="G84" s="92" t="str">
        <f>IF([1]!DataIris[[#This Row],[Largo de sépalo]]&lt;=5.5,"CORTO",IF([1]!DataIris[[#This Row],[Largo de sépalo]]&lt;=6.7,"MEDIANO","LARGO"))</f>
        <v>MEDIANO</v>
      </c>
      <c r="H84" s="92" t="str">
        <f>IF([1]!DataIris[[#This Row],[Ancho de sépalo]]&lt;=3.2,"ESTRECHO","ANCHO")</f>
        <v>ESTRECHO</v>
      </c>
      <c r="I84" s="92" t="str">
        <f>IF([1]!DataIris[[#This Row],[Largo de pétalo]]&lt;=3,"CORTO",IF([1]!DataIris[[#This Row],[Largo de pétalo]]&lt;=5,"MEDIANO","LARGO"))</f>
        <v>LARGO</v>
      </c>
      <c r="J84" s="92" t="str">
        <f>IF([1]!DataIris[[#This Row],[Ancho de pétalo]]&lt;=1.4,"ESTRECHO","ANCHO")</f>
        <v>ANCHO</v>
      </c>
      <c r="K84" s="92" t="s">
        <v>27</v>
      </c>
    </row>
    <row r="85" spans="2:11">
      <c r="B85" s="92">
        <v>6</v>
      </c>
      <c r="C85" s="92">
        <v>2.2000000000000002</v>
      </c>
      <c r="D85" s="92">
        <v>4</v>
      </c>
      <c r="E85" s="92">
        <v>1</v>
      </c>
      <c r="F85" s="92" t="s">
        <v>26</v>
      </c>
      <c r="G85" s="92" t="str">
        <f>IF([1]!DataIris[[#This Row],[Largo de sépalo]]&lt;=5.5,"CORTO",IF([1]!DataIris[[#This Row],[Largo de sépalo]]&lt;=6.7,"MEDIANO","LARGO"))</f>
        <v>MEDIANO</v>
      </c>
      <c r="H85" s="92" t="str">
        <f>IF([1]!DataIris[[#This Row],[Ancho de sépalo]]&lt;=3.2,"ESTRECHO","ANCHO")</f>
        <v>ESTRECHO</v>
      </c>
      <c r="I85" s="92" t="str">
        <f>IF([1]!DataIris[[#This Row],[Largo de pétalo]]&lt;=3,"CORTO",IF([1]!DataIris[[#This Row],[Largo de pétalo]]&lt;=5,"MEDIANO","LARGO"))</f>
        <v>MEDIANO</v>
      </c>
      <c r="J85" s="92" t="str">
        <f>IF([1]!DataIris[[#This Row],[Ancho de pétalo]]&lt;=1.4,"ESTRECHO","ANCHO")</f>
        <v>ESTRECHO</v>
      </c>
      <c r="K85" s="92" t="s">
        <v>27</v>
      </c>
    </row>
    <row r="86" spans="2:11">
      <c r="B86" s="92">
        <v>6</v>
      </c>
      <c r="C86" s="92">
        <v>2.9</v>
      </c>
      <c r="D86" s="92">
        <v>4.5</v>
      </c>
      <c r="E86" s="92">
        <v>1.5</v>
      </c>
      <c r="F86" s="92" t="s">
        <v>26</v>
      </c>
      <c r="G86" s="92" t="str">
        <f>IF([1]!DataIris[[#This Row],[Largo de sépalo]]&lt;=5.5,"CORTO",IF([1]!DataIris[[#This Row],[Largo de sépalo]]&lt;=6.7,"MEDIANO","LARGO"))</f>
        <v>MEDIANO</v>
      </c>
      <c r="H86" s="92" t="str">
        <f>IF([1]!DataIris[[#This Row],[Ancho de sépalo]]&lt;=3.2,"ESTRECHO","ANCHO")</f>
        <v>ESTRECHO</v>
      </c>
      <c r="I86" s="92" t="str">
        <f>IF([1]!DataIris[[#This Row],[Largo de pétalo]]&lt;=3,"CORTO",IF([1]!DataIris[[#This Row],[Largo de pétalo]]&lt;=5,"MEDIANO","LARGO"))</f>
        <v>MEDIANO</v>
      </c>
      <c r="J86" s="92" t="str">
        <f>IF([1]!DataIris[[#This Row],[Ancho de pétalo]]&lt;=1.4,"ESTRECHO","ANCHO")</f>
        <v>ANCHO</v>
      </c>
      <c r="K86" s="92" t="s">
        <v>27</v>
      </c>
    </row>
    <row r="87" spans="2:11">
      <c r="B87" s="92">
        <v>6</v>
      </c>
      <c r="C87" s="92">
        <v>2.2000000000000002</v>
      </c>
      <c r="D87" s="92">
        <v>5</v>
      </c>
      <c r="E87" s="92">
        <v>1.5</v>
      </c>
      <c r="F87" s="92" t="s">
        <v>27</v>
      </c>
      <c r="G87" s="92" t="str">
        <f>IF([1]!DataIris[[#This Row],[Largo de sépalo]]&lt;=5.5,"CORTO",IF([1]!DataIris[[#This Row],[Largo de sépalo]]&lt;=6.7,"MEDIANO","LARGO"))</f>
        <v>MEDIANO</v>
      </c>
      <c r="H87" s="92" t="str">
        <f>IF([1]!DataIris[[#This Row],[Ancho de sépalo]]&lt;=3.2,"ESTRECHO","ANCHO")</f>
        <v>ESTRECHO</v>
      </c>
      <c r="I87" s="92" t="str">
        <f>IF([1]!DataIris[[#This Row],[Largo de pétalo]]&lt;=3,"CORTO",IF([1]!DataIris[[#This Row],[Largo de pétalo]]&lt;=5,"MEDIANO","LARGO"))</f>
        <v>MEDIANO</v>
      </c>
      <c r="J87" s="92" t="str">
        <f>IF([1]!DataIris[[#This Row],[Ancho de pétalo]]&lt;=1.4,"ESTRECHO","ANCHO")</f>
        <v>ANCHO</v>
      </c>
      <c r="K87" s="92" t="s">
        <v>27</v>
      </c>
    </row>
    <row r="88" spans="2:11">
      <c r="B88" s="92">
        <v>6</v>
      </c>
      <c r="C88" s="92">
        <v>3.4</v>
      </c>
      <c r="D88" s="92">
        <v>4.5</v>
      </c>
      <c r="E88" s="92">
        <v>1.6</v>
      </c>
      <c r="F88" s="92" t="s">
        <v>26</v>
      </c>
      <c r="G88" s="92" t="str">
        <f>IF([1]!DataIris[[#This Row],[Largo de sépalo]]&lt;=5.5,"CORTO",IF([1]!DataIris[[#This Row],[Largo de sépalo]]&lt;=6.7,"MEDIANO","LARGO"))</f>
        <v>MEDIANO</v>
      </c>
      <c r="H88" s="92" t="str">
        <f>IF([1]!DataIris[[#This Row],[Ancho de sépalo]]&lt;=3.2,"ESTRECHO","ANCHO")</f>
        <v>ANCHO</v>
      </c>
      <c r="I88" s="92" t="str">
        <f>IF([1]!DataIris[[#This Row],[Largo de pétalo]]&lt;=3,"CORTO",IF([1]!DataIris[[#This Row],[Largo de pétalo]]&lt;=5,"MEDIANO","LARGO"))</f>
        <v>MEDIANO</v>
      </c>
      <c r="J88" s="92" t="str">
        <f>IF([1]!DataIris[[#This Row],[Ancho de pétalo]]&lt;=1.4,"ESTRECHO","ANCHO")</f>
        <v>ANCHO</v>
      </c>
      <c r="K88" s="92" t="s">
        <v>27</v>
      </c>
    </row>
    <row r="89" spans="2:11">
      <c r="B89" s="92">
        <v>6</v>
      </c>
      <c r="C89" s="92">
        <v>2.7</v>
      </c>
      <c r="D89" s="92">
        <v>5.0999999999999996</v>
      </c>
      <c r="E89" s="92">
        <v>1.6</v>
      </c>
      <c r="F89" s="92" t="s">
        <v>26</v>
      </c>
      <c r="G89" s="92" t="str">
        <f>IF([1]!DataIris[[#This Row],[Largo de sépalo]]&lt;=5.5,"CORTO",IF([1]!DataIris[[#This Row],[Largo de sépalo]]&lt;=6.7,"MEDIANO","LARGO"))</f>
        <v>MEDIANO</v>
      </c>
      <c r="H89" s="92" t="str">
        <f>IF([1]!DataIris[[#This Row],[Ancho de sépalo]]&lt;=3.2,"ESTRECHO","ANCHO")</f>
        <v>ESTRECHO</v>
      </c>
      <c r="I89" s="92" t="str">
        <f>IF([1]!DataIris[[#This Row],[Largo de pétalo]]&lt;=3,"CORTO",IF([1]!DataIris[[#This Row],[Largo de pétalo]]&lt;=5,"MEDIANO","LARGO"))</f>
        <v>LARGO</v>
      </c>
      <c r="J89" s="92" t="str">
        <f>IF([1]!DataIris[[#This Row],[Ancho de pétalo]]&lt;=1.4,"ESTRECHO","ANCHO")</f>
        <v>ANCHO</v>
      </c>
      <c r="K89" s="92" t="s">
        <v>27</v>
      </c>
    </row>
    <row r="90" spans="2:11">
      <c r="B90" s="92">
        <v>6</v>
      </c>
      <c r="C90" s="92">
        <v>3</v>
      </c>
      <c r="D90" s="92">
        <v>4.8</v>
      </c>
      <c r="E90" s="92">
        <v>1.8</v>
      </c>
      <c r="F90" s="92" t="s">
        <v>27</v>
      </c>
      <c r="G90" s="92" t="str">
        <f>IF([1]!DataIris[[#This Row],[Largo de sépalo]]&lt;=5.5,"CORTO",IF([1]!DataIris[[#This Row],[Largo de sépalo]]&lt;=6.7,"MEDIANO","LARGO"))</f>
        <v>MEDIANO</v>
      </c>
      <c r="H90" s="92" t="str">
        <f>IF([1]!DataIris[[#This Row],[Ancho de sépalo]]&lt;=3.2,"ESTRECHO","ANCHO")</f>
        <v>ESTRECHO</v>
      </c>
      <c r="I90" s="92" t="str">
        <f>IF([1]!DataIris[[#This Row],[Largo de pétalo]]&lt;=3,"CORTO",IF([1]!DataIris[[#This Row],[Largo de pétalo]]&lt;=5,"MEDIANO","LARGO"))</f>
        <v>MEDIANO</v>
      </c>
      <c r="J90" s="92" t="str">
        <f>IF([1]!DataIris[[#This Row],[Ancho de pétalo]]&lt;=1.4,"ESTRECHO","ANCHO")</f>
        <v>ANCHO</v>
      </c>
      <c r="K90" s="92" t="s">
        <v>27</v>
      </c>
    </row>
    <row r="91" spans="2:11">
      <c r="B91" s="92">
        <v>6.1</v>
      </c>
      <c r="C91" s="92">
        <v>2.8</v>
      </c>
      <c r="D91" s="92">
        <v>4.7</v>
      </c>
      <c r="E91" s="92">
        <v>1.2</v>
      </c>
      <c r="F91" s="92" t="s">
        <v>26</v>
      </c>
      <c r="G91" s="92" t="str">
        <f>IF([1]!DataIris[[#This Row],[Largo de sépalo]]&lt;=5.5,"CORTO",IF([1]!DataIris[[#This Row],[Largo de sépalo]]&lt;=6.7,"MEDIANO","LARGO"))</f>
        <v>MEDIANO</v>
      </c>
      <c r="H91" s="92" t="str">
        <f>IF([1]!DataIris[[#This Row],[Ancho de sépalo]]&lt;=3.2,"ESTRECHO","ANCHO")</f>
        <v>ESTRECHO</v>
      </c>
      <c r="I91" s="92" t="str">
        <f>IF([1]!DataIris[[#This Row],[Largo de pétalo]]&lt;=3,"CORTO",IF([1]!DataIris[[#This Row],[Largo de pétalo]]&lt;=5,"MEDIANO","LARGO"))</f>
        <v>MEDIANO</v>
      </c>
      <c r="J91" s="92" t="str">
        <f>IF([1]!DataIris[[#This Row],[Ancho de pétalo]]&lt;=1.4,"ESTRECHO","ANCHO")</f>
        <v>ESTRECHO</v>
      </c>
      <c r="K91" s="92" t="s">
        <v>27</v>
      </c>
    </row>
    <row r="92" spans="2:11">
      <c r="B92" s="92">
        <v>6.1</v>
      </c>
      <c r="C92" s="92">
        <v>2.8</v>
      </c>
      <c r="D92" s="92">
        <v>4</v>
      </c>
      <c r="E92" s="92">
        <v>1.3</v>
      </c>
      <c r="F92" s="92" t="s">
        <v>26</v>
      </c>
      <c r="G92" s="92" t="str">
        <f>IF([1]!DataIris[[#This Row],[Largo de sépalo]]&lt;=5.5,"CORTO",IF([1]!DataIris[[#This Row],[Largo de sépalo]]&lt;=6.7,"MEDIANO","LARGO"))</f>
        <v>MEDIANO</v>
      </c>
      <c r="H92" s="92" t="str">
        <f>IF([1]!DataIris[[#This Row],[Ancho de sépalo]]&lt;=3.2,"ESTRECHO","ANCHO")</f>
        <v>ESTRECHO</v>
      </c>
      <c r="I92" s="92" t="str">
        <f>IF([1]!DataIris[[#This Row],[Largo de pétalo]]&lt;=3,"CORTO",IF([1]!DataIris[[#This Row],[Largo de pétalo]]&lt;=5,"MEDIANO","LARGO"))</f>
        <v>MEDIANO</v>
      </c>
      <c r="J92" s="92" t="str">
        <f>IF([1]!DataIris[[#This Row],[Ancho de pétalo]]&lt;=1.4,"ESTRECHO","ANCHO")</f>
        <v>ESTRECHO</v>
      </c>
      <c r="K92" s="92" t="s">
        <v>27</v>
      </c>
    </row>
    <row r="93" spans="2:11">
      <c r="B93" s="92">
        <v>6.1</v>
      </c>
      <c r="C93" s="92">
        <v>3</v>
      </c>
      <c r="D93" s="92">
        <v>4.5999999999999996</v>
      </c>
      <c r="E93" s="92">
        <v>1.4</v>
      </c>
      <c r="F93" s="92" t="s">
        <v>26</v>
      </c>
      <c r="G93" s="92" t="str">
        <f>IF([1]!DataIris[[#This Row],[Largo de sépalo]]&lt;=5.5,"CORTO",IF([1]!DataIris[[#This Row],[Largo de sépalo]]&lt;=6.7,"MEDIANO","LARGO"))</f>
        <v>MEDIANO</v>
      </c>
      <c r="H93" s="92" t="str">
        <f>IF([1]!DataIris[[#This Row],[Ancho de sépalo]]&lt;=3.2,"ESTRECHO","ANCHO")</f>
        <v>ESTRECHO</v>
      </c>
      <c r="I93" s="92" t="str">
        <f>IF([1]!DataIris[[#This Row],[Largo de pétalo]]&lt;=3,"CORTO",IF([1]!DataIris[[#This Row],[Largo de pétalo]]&lt;=5,"MEDIANO","LARGO"))</f>
        <v>MEDIANO</v>
      </c>
      <c r="J93" s="92" t="str">
        <f>IF([1]!DataIris[[#This Row],[Ancho de pétalo]]&lt;=1.4,"ESTRECHO","ANCHO")</f>
        <v>ESTRECHO</v>
      </c>
      <c r="K93" s="92" t="s">
        <v>25</v>
      </c>
    </row>
    <row r="94" spans="2:11">
      <c r="B94" s="92">
        <v>6.1</v>
      </c>
      <c r="C94" s="92">
        <v>2.9</v>
      </c>
      <c r="D94" s="92">
        <v>4.7</v>
      </c>
      <c r="E94" s="92">
        <v>1.4</v>
      </c>
      <c r="F94" s="92" t="s">
        <v>26</v>
      </c>
      <c r="G94" s="92" t="str">
        <f>IF([1]!DataIris[[#This Row],[Largo de sépalo]]&lt;=5.5,"CORTO",IF([1]!DataIris[[#This Row],[Largo de sépalo]]&lt;=6.7,"MEDIANO","LARGO"))</f>
        <v>MEDIANO</v>
      </c>
      <c r="H94" s="92" t="str">
        <f>IF([1]!DataIris[[#This Row],[Ancho de sépalo]]&lt;=3.2,"ESTRECHO","ANCHO")</f>
        <v>ESTRECHO</v>
      </c>
      <c r="I94" s="92" t="str">
        <f>IF([1]!DataIris[[#This Row],[Largo de pétalo]]&lt;=3,"CORTO",IF([1]!DataIris[[#This Row],[Largo de pétalo]]&lt;=5,"MEDIANO","LARGO"))</f>
        <v>MEDIANO</v>
      </c>
      <c r="J94" s="92" t="str">
        <f>IF([1]!DataIris[[#This Row],[Ancho de pétalo]]&lt;=1.4,"ESTRECHO","ANCHO")</f>
        <v>ESTRECHO</v>
      </c>
      <c r="K94" s="92" t="s">
        <v>25</v>
      </c>
    </row>
    <row r="95" spans="2:11">
      <c r="B95" s="92">
        <v>6.1</v>
      </c>
      <c r="C95" s="92">
        <v>2.6</v>
      </c>
      <c r="D95" s="92">
        <v>5.6</v>
      </c>
      <c r="E95" s="92">
        <v>1.4</v>
      </c>
      <c r="F95" s="92" t="s">
        <v>27</v>
      </c>
      <c r="G95" s="92" t="str">
        <f>IF([1]!DataIris[[#This Row],[Largo de sépalo]]&lt;=5.5,"CORTO",IF([1]!DataIris[[#This Row],[Largo de sépalo]]&lt;=6.7,"MEDIANO","LARGO"))</f>
        <v>MEDIANO</v>
      </c>
      <c r="H95" s="92" t="str">
        <f>IF([1]!DataIris[[#This Row],[Ancho de sépalo]]&lt;=3.2,"ESTRECHO","ANCHO")</f>
        <v>ESTRECHO</v>
      </c>
      <c r="I95" s="92" t="str">
        <f>IF([1]!DataIris[[#This Row],[Largo de pétalo]]&lt;=3,"CORTO",IF([1]!DataIris[[#This Row],[Largo de pétalo]]&lt;=5,"MEDIANO","LARGO"))</f>
        <v>LARGO</v>
      </c>
      <c r="J95" s="92" t="str">
        <f>IF([1]!DataIris[[#This Row],[Ancho de pétalo]]&lt;=1.4,"ESTRECHO","ANCHO")</f>
        <v>ESTRECHO</v>
      </c>
      <c r="K95" s="92" t="s">
        <v>25</v>
      </c>
    </row>
    <row r="96" spans="2:11">
      <c r="B96" s="92">
        <v>6.1</v>
      </c>
      <c r="C96" s="92">
        <v>3</v>
      </c>
      <c r="D96" s="92">
        <v>4.9000000000000004</v>
      </c>
      <c r="E96" s="92">
        <v>1.8</v>
      </c>
      <c r="F96" s="92" t="s">
        <v>27</v>
      </c>
      <c r="G96" s="92" t="str">
        <f>IF([1]!DataIris[[#This Row],[Largo de sépalo]]&lt;=5.5,"CORTO",IF([1]!DataIris[[#This Row],[Largo de sépalo]]&lt;=6.7,"MEDIANO","LARGO"))</f>
        <v>MEDIANO</v>
      </c>
      <c r="H96" s="92" t="str">
        <f>IF([1]!DataIris[[#This Row],[Ancho de sépalo]]&lt;=3.2,"ESTRECHO","ANCHO")</f>
        <v>ESTRECHO</v>
      </c>
      <c r="I96" s="92" t="str">
        <f>IF([1]!DataIris[[#This Row],[Largo de pétalo]]&lt;=3,"CORTO",IF([1]!DataIris[[#This Row],[Largo de pétalo]]&lt;=5,"MEDIANO","LARGO"))</f>
        <v>MEDIANO</v>
      </c>
      <c r="J96" s="92" t="str">
        <f>IF([1]!DataIris[[#This Row],[Ancho de pétalo]]&lt;=1.4,"ESTRECHO","ANCHO")</f>
        <v>ANCHO</v>
      </c>
      <c r="K96" s="92" t="s">
        <v>25</v>
      </c>
    </row>
    <row r="97" spans="2:11">
      <c r="B97" s="92">
        <v>6.2</v>
      </c>
      <c r="C97" s="92">
        <v>2.9</v>
      </c>
      <c r="D97" s="92">
        <v>4.3</v>
      </c>
      <c r="E97" s="92">
        <v>1.3</v>
      </c>
      <c r="F97" s="92" t="s">
        <v>26</v>
      </c>
      <c r="G97" s="92" t="str">
        <f>IF([1]!DataIris[[#This Row],[Largo de sépalo]]&lt;=5.5,"CORTO",IF([1]!DataIris[[#This Row],[Largo de sépalo]]&lt;=6.7,"MEDIANO","LARGO"))</f>
        <v>MEDIANO</v>
      </c>
      <c r="H97" s="92" t="str">
        <f>IF([1]!DataIris[[#This Row],[Ancho de sépalo]]&lt;=3.2,"ESTRECHO","ANCHO")</f>
        <v>ESTRECHO</v>
      </c>
      <c r="I97" s="92" t="str">
        <f>IF([1]!DataIris[[#This Row],[Largo de pétalo]]&lt;=3,"CORTO",IF([1]!DataIris[[#This Row],[Largo de pétalo]]&lt;=5,"MEDIANO","LARGO"))</f>
        <v>MEDIANO</v>
      </c>
      <c r="J97" s="92" t="str">
        <f>IF([1]!DataIris[[#This Row],[Ancho de pétalo]]&lt;=1.4,"ESTRECHO","ANCHO")</f>
        <v>ESTRECHO</v>
      </c>
      <c r="K97" s="92" t="s">
        <v>25</v>
      </c>
    </row>
    <row r="98" spans="2:11">
      <c r="B98" s="92">
        <v>6.2</v>
      </c>
      <c r="C98" s="92">
        <v>2.2000000000000002</v>
      </c>
      <c r="D98" s="92">
        <v>4.5</v>
      </c>
      <c r="E98" s="92">
        <v>1.5</v>
      </c>
      <c r="F98" s="92" t="s">
        <v>26</v>
      </c>
      <c r="G98" s="92" t="str">
        <f>IF([1]!DataIris[[#This Row],[Largo de sépalo]]&lt;=5.5,"CORTO",IF([1]!DataIris[[#This Row],[Largo de sépalo]]&lt;=6.7,"MEDIANO","LARGO"))</f>
        <v>MEDIANO</v>
      </c>
      <c r="H98" s="92" t="str">
        <f>IF([1]!DataIris[[#This Row],[Ancho de sépalo]]&lt;=3.2,"ESTRECHO","ANCHO")</f>
        <v>ESTRECHO</v>
      </c>
      <c r="I98" s="92" t="str">
        <f>IF([1]!DataIris[[#This Row],[Largo de pétalo]]&lt;=3,"CORTO",IF([1]!DataIris[[#This Row],[Largo de pétalo]]&lt;=5,"MEDIANO","LARGO"))</f>
        <v>MEDIANO</v>
      </c>
      <c r="J98" s="92" t="str">
        <f>IF([1]!DataIris[[#This Row],[Ancho de pétalo]]&lt;=1.4,"ESTRECHO","ANCHO")</f>
        <v>ANCHO</v>
      </c>
      <c r="K98" s="92" t="s">
        <v>25</v>
      </c>
    </row>
    <row r="99" spans="2:11">
      <c r="B99" s="92">
        <v>6.2</v>
      </c>
      <c r="C99" s="92">
        <v>2.8</v>
      </c>
      <c r="D99" s="92">
        <v>4.8</v>
      </c>
      <c r="E99" s="92">
        <v>1.8</v>
      </c>
      <c r="F99" s="92" t="s">
        <v>27</v>
      </c>
      <c r="G99" s="92" t="str">
        <f>IF([1]!DataIris[[#This Row],[Largo de sépalo]]&lt;=5.5,"CORTO",IF([1]!DataIris[[#This Row],[Largo de sépalo]]&lt;=6.7,"MEDIANO","LARGO"))</f>
        <v>MEDIANO</v>
      </c>
      <c r="H99" s="92" t="str">
        <f>IF([1]!DataIris[[#This Row],[Ancho de sépalo]]&lt;=3.2,"ESTRECHO","ANCHO")</f>
        <v>ESTRECHO</v>
      </c>
      <c r="I99" s="92" t="str">
        <f>IF([1]!DataIris[[#This Row],[Largo de pétalo]]&lt;=3,"CORTO",IF([1]!DataIris[[#This Row],[Largo de pétalo]]&lt;=5,"MEDIANO","LARGO"))</f>
        <v>MEDIANO</v>
      </c>
      <c r="J99" s="92" t="str">
        <f>IF([1]!DataIris[[#This Row],[Ancho de pétalo]]&lt;=1.4,"ESTRECHO","ANCHO")</f>
        <v>ANCHO</v>
      </c>
      <c r="K99" s="92" t="s">
        <v>25</v>
      </c>
    </row>
    <row r="100" spans="2:11">
      <c r="B100" s="92">
        <v>6.2</v>
      </c>
      <c r="C100" s="92">
        <v>3.4</v>
      </c>
      <c r="D100" s="92">
        <v>5.4</v>
      </c>
      <c r="E100" s="92">
        <v>2.2999999999999998</v>
      </c>
      <c r="F100" s="92" t="s">
        <v>27</v>
      </c>
      <c r="G100" s="92" t="str">
        <f>IF([1]!DataIris[[#This Row],[Largo de sépalo]]&lt;=5.5,"CORTO",IF([1]!DataIris[[#This Row],[Largo de sépalo]]&lt;=6.7,"MEDIANO","LARGO"))</f>
        <v>MEDIANO</v>
      </c>
      <c r="H100" s="92" t="str">
        <f>IF([1]!DataIris[[#This Row],[Ancho de sépalo]]&lt;=3.2,"ESTRECHO","ANCHO")</f>
        <v>ANCHO</v>
      </c>
      <c r="I100" s="92" t="str">
        <f>IF([1]!DataIris[[#This Row],[Largo de pétalo]]&lt;=3,"CORTO",IF([1]!DataIris[[#This Row],[Largo de pétalo]]&lt;=5,"MEDIANO","LARGO"))</f>
        <v>LARGO</v>
      </c>
      <c r="J100" s="92" t="str">
        <f>IF([1]!DataIris[[#This Row],[Ancho de pétalo]]&lt;=1.4,"ESTRECHO","ANCHO")</f>
        <v>ANCHO</v>
      </c>
      <c r="K100" s="92" t="s">
        <v>25</v>
      </c>
    </row>
    <row r="101" spans="2:11">
      <c r="B101" s="92">
        <v>6.3</v>
      </c>
      <c r="C101" s="92">
        <v>2.2999999999999998</v>
      </c>
      <c r="D101" s="92">
        <v>4.4000000000000004</v>
      </c>
      <c r="E101" s="92">
        <v>1.3</v>
      </c>
      <c r="F101" s="92" t="s">
        <v>26</v>
      </c>
      <c r="G101" s="92" t="str">
        <f>IF([1]!DataIris[[#This Row],[Largo de sépalo]]&lt;=5.5,"CORTO",IF([1]!DataIris[[#This Row],[Largo de sépalo]]&lt;=6.7,"MEDIANO","LARGO"))</f>
        <v>MEDIANO</v>
      </c>
      <c r="H101" s="92" t="str">
        <f>IF([1]!DataIris[[#This Row],[Ancho de sépalo]]&lt;=3.2,"ESTRECHO","ANCHO")</f>
        <v>ESTRECHO</v>
      </c>
      <c r="I101" s="92" t="str">
        <f>IF([1]!DataIris[[#This Row],[Largo de pétalo]]&lt;=3,"CORTO",IF([1]!DataIris[[#This Row],[Largo de pétalo]]&lt;=5,"MEDIANO","LARGO"))</f>
        <v>MEDIANO</v>
      </c>
      <c r="J101" s="92" t="str">
        <f>IF([1]!DataIris[[#This Row],[Ancho de pétalo]]&lt;=1.4,"ESTRECHO","ANCHO")</f>
        <v>ESTRECHO</v>
      </c>
      <c r="K101" s="92" t="s">
        <v>25</v>
      </c>
    </row>
    <row r="102" spans="2:11">
      <c r="B102" s="92">
        <v>6.3</v>
      </c>
      <c r="C102" s="92">
        <v>2.5</v>
      </c>
      <c r="D102" s="92">
        <v>4.9000000000000004</v>
      </c>
      <c r="E102" s="92">
        <v>1.5</v>
      </c>
      <c r="F102" s="92" t="s">
        <v>26</v>
      </c>
      <c r="G102" s="92" t="str">
        <f>IF([1]!DataIris[[#This Row],[Largo de sépalo]]&lt;=5.5,"CORTO",IF([1]!DataIris[[#This Row],[Largo de sépalo]]&lt;=6.7,"MEDIANO","LARGO"))</f>
        <v>MEDIANO</v>
      </c>
      <c r="H102" s="92" t="str">
        <f>IF([1]!DataIris[[#This Row],[Ancho de sépalo]]&lt;=3.2,"ESTRECHO","ANCHO")</f>
        <v>ESTRECHO</v>
      </c>
      <c r="I102" s="92" t="str">
        <f>IF([1]!DataIris[[#This Row],[Largo de pétalo]]&lt;=3,"CORTO",IF([1]!DataIris[[#This Row],[Largo de pétalo]]&lt;=5,"MEDIANO","LARGO"))</f>
        <v>MEDIANO</v>
      </c>
      <c r="J102" s="92" t="str">
        <f>IF([1]!DataIris[[#This Row],[Ancho de pétalo]]&lt;=1.4,"ESTRECHO","ANCHO")</f>
        <v>ANCHO</v>
      </c>
      <c r="K102" s="92" t="s">
        <v>25</v>
      </c>
    </row>
    <row r="103" spans="2:11">
      <c r="B103" s="92">
        <v>6.3</v>
      </c>
      <c r="C103" s="92">
        <v>2.8</v>
      </c>
      <c r="D103" s="92">
        <v>5.0999999999999996</v>
      </c>
      <c r="E103" s="92">
        <v>1.5</v>
      </c>
      <c r="F103" s="92" t="s">
        <v>27</v>
      </c>
      <c r="G103" s="92" t="str">
        <f>IF([1]!DataIris[[#This Row],[Largo de sépalo]]&lt;=5.5,"CORTO",IF([1]!DataIris[[#This Row],[Largo de sépalo]]&lt;=6.7,"MEDIANO","LARGO"))</f>
        <v>MEDIANO</v>
      </c>
      <c r="H103" s="92" t="str">
        <f>IF([1]!DataIris[[#This Row],[Ancho de sépalo]]&lt;=3.2,"ESTRECHO","ANCHO")</f>
        <v>ESTRECHO</v>
      </c>
      <c r="I103" s="92" t="str">
        <f>IF([1]!DataIris[[#This Row],[Largo de pétalo]]&lt;=3,"CORTO",IF([1]!DataIris[[#This Row],[Largo de pétalo]]&lt;=5,"MEDIANO","LARGO"))</f>
        <v>LARGO</v>
      </c>
      <c r="J103" s="92" t="str">
        <f>IF([1]!DataIris[[#This Row],[Ancho de pétalo]]&lt;=1.4,"ESTRECHO","ANCHO")</f>
        <v>ANCHO</v>
      </c>
      <c r="K103" s="92" t="s">
        <v>25</v>
      </c>
    </row>
    <row r="104" spans="2:11">
      <c r="B104" s="92">
        <v>6.3</v>
      </c>
      <c r="C104" s="92">
        <v>3.3</v>
      </c>
      <c r="D104" s="92">
        <v>4.7</v>
      </c>
      <c r="E104" s="92">
        <v>1.6</v>
      </c>
      <c r="F104" s="92" t="s">
        <v>26</v>
      </c>
      <c r="G104" s="92" t="str">
        <f>IF([1]!DataIris[[#This Row],[Largo de sépalo]]&lt;=5.5,"CORTO",IF([1]!DataIris[[#This Row],[Largo de sépalo]]&lt;=6.7,"MEDIANO","LARGO"))</f>
        <v>MEDIANO</v>
      </c>
      <c r="H104" s="92" t="str">
        <f>IF([1]!DataIris[[#This Row],[Ancho de sépalo]]&lt;=3.2,"ESTRECHO","ANCHO")</f>
        <v>ANCHO</v>
      </c>
      <c r="I104" s="92" t="str">
        <f>IF([1]!DataIris[[#This Row],[Largo de pétalo]]&lt;=3,"CORTO",IF([1]!DataIris[[#This Row],[Largo de pétalo]]&lt;=5,"MEDIANO","LARGO"))</f>
        <v>MEDIANO</v>
      </c>
      <c r="J104" s="92" t="str">
        <f>IF([1]!DataIris[[#This Row],[Ancho de pétalo]]&lt;=1.4,"ESTRECHO","ANCHO")</f>
        <v>ANCHO</v>
      </c>
      <c r="K104" s="92" t="s">
        <v>25</v>
      </c>
    </row>
    <row r="105" spans="2:11">
      <c r="B105" s="92">
        <v>6.3</v>
      </c>
      <c r="C105" s="92">
        <v>2.7</v>
      </c>
      <c r="D105" s="92">
        <v>4.9000000000000004</v>
      </c>
      <c r="E105" s="92">
        <v>1.8</v>
      </c>
      <c r="F105" s="92" t="s">
        <v>27</v>
      </c>
      <c r="G105" s="92" t="str">
        <f>IF([1]!DataIris[[#This Row],[Largo de sépalo]]&lt;=5.5,"CORTO",IF([1]!DataIris[[#This Row],[Largo de sépalo]]&lt;=6.7,"MEDIANO","LARGO"))</f>
        <v>MEDIANO</v>
      </c>
      <c r="H105" s="92" t="str">
        <f>IF([1]!DataIris[[#This Row],[Ancho de sépalo]]&lt;=3.2,"ESTRECHO","ANCHO")</f>
        <v>ESTRECHO</v>
      </c>
      <c r="I105" s="92" t="str">
        <f>IF([1]!DataIris[[#This Row],[Largo de pétalo]]&lt;=3,"CORTO",IF([1]!DataIris[[#This Row],[Largo de pétalo]]&lt;=5,"MEDIANO","LARGO"))</f>
        <v>MEDIANO</v>
      </c>
      <c r="J105" s="92" t="str">
        <f>IF([1]!DataIris[[#This Row],[Ancho de pétalo]]&lt;=1.4,"ESTRECHO","ANCHO")</f>
        <v>ANCHO</v>
      </c>
      <c r="K105" s="92" t="s">
        <v>25</v>
      </c>
    </row>
    <row r="106" spans="2:11">
      <c r="B106" s="92">
        <v>6.3</v>
      </c>
      <c r="C106" s="92">
        <v>2.9</v>
      </c>
      <c r="D106" s="92">
        <v>5.6</v>
      </c>
      <c r="E106" s="92">
        <v>1.8</v>
      </c>
      <c r="F106" s="92" t="s">
        <v>27</v>
      </c>
      <c r="G106" s="92" t="str">
        <f>IF([1]!DataIris[[#This Row],[Largo de sépalo]]&lt;=5.5,"CORTO",IF([1]!DataIris[[#This Row],[Largo de sépalo]]&lt;=6.7,"MEDIANO","LARGO"))</f>
        <v>MEDIANO</v>
      </c>
      <c r="H106" s="92" t="str">
        <f>IF([1]!DataIris[[#This Row],[Ancho de sépalo]]&lt;=3.2,"ESTRECHO","ANCHO")</f>
        <v>ESTRECHO</v>
      </c>
      <c r="I106" s="92" t="str">
        <f>IF([1]!DataIris[[#This Row],[Largo de pétalo]]&lt;=3,"CORTO",IF([1]!DataIris[[#This Row],[Largo de pétalo]]&lt;=5,"MEDIANO","LARGO"))</f>
        <v>LARGO</v>
      </c>
      <c r="J106" s="92" t="str">
        <f>IF([1]!DataIris[[#This Row],[Ancho de pétalo]]&lt;=1.4,"ESTRECHO","ANCHO")</f>
        <v>ANCHO</v>
      </c>
      <c r="K106" s="92" t="s">
        <v>25</v>
      </c>
    </row>
    <row r="107" spans="2:11">
      <c r="B107" s="92">
        <v>6.3</v>
      </c>
      <c r="C107" s="92">
        <v>2.5</v>
      </c>
      <c r="D107" s="92">
        <v>5</v>
      </c>
      <c r="E107" s="92">
        <v>1.9</v>
      </c>
      <c r="F107" s="92" t="s">
        <v>27</v>
      </c>
      <c r="G107" s="92" t="str">
        <f>IF([1]!DataIris[[#This Row],[Largo de sépalo]]&lt;=5.5,"CORTO",IF([1]!DataIris[[#This Row],[Largo de sépalo]]&lt;=6.7,"MEDIANO","LARGO"))</f>
        <v>MEDIANO</v>
      </c>
      <c r="H107" s="92" t="str">
        <f>IF([1]!DataIris[[#This Row],[Ancho de sépalo]]&lt;=3.2,"ESTRECHO","ANCHO")</f>
        <v>ESTRECHO</v>
      </c>
      <c r="I107" s="92" t="str">
        <f>IF([1]!DataIris[[#This Row],[Largo de pétalo]]&lt;=3,"CORTO",IF([1]!DataIris[[#This Row],[Largo de pétalo]]&lt;=5,"MEDIANO","LARGO"))</f>
        <v>MEDIANO</v>
      </c>
      <c r="J107" s="92" t="str">
        <f>IF([1]!DataIris[[#This Row],[Ancho de pétalo]]&lt;=1.4,"ESTRECHO","ANCHO")</f>
        <v>ANCHO</v>
      </c>
      <c r="K107" s="92" t="s">
        <v>25</v>
      </c>
    </row>
    <row r="108" spans="2:11">
      <c r="B108" s="92">
        <v>6.3</v>
      </c>
      <c r="C108" s="92">
        <v>3.4</v>
      </c>
      <c r="D108" s="92">
        <v>5.6</v>
      </c>
      <c r="E108" s="92">
        <v>2.4</v>
      </c>
      <c r="F108" s="92" t="s">
        <v>27</v>
      </c>
      <c r="G108" s="92" t="str">
        <f>IF([1]!DataIris[[#This Row],[Largo de sépalo]]&lt;=5.5,"CORTO",IF([1]!DataIris[[#This Row],[Largo de sépalo]]&lt;=6.7,"MEDIANO","LARGO"))</f>
        <v>MEDIANO</v>
      </c>
      <c r="H108" s="92" t="str">
        <f>IF([1]!DataIris[[#This Row],[Ancho de sépalo]]&lt;=3.2,"ESTRECHO","ANCHO")</f>
        <v>ANCHO</v>
      </c>
      <c r="I108" s="92" t="str">
        <f>IF([1]!DataIris[[#This Row],[Largo de pétalo]]&lt;=3,"CORTO",IF([1]!DataIris[[#This Row],[Largo de pétalo]]&lt;=5,"MEDIANO","LARGO"))</f>
        <v>LARGO</v>
      </c>
      <c r="J108" s="92" t="str">
        <f>IF([1]!DataIris[[#This Row],[Ancho de pétalo]]&lt;=1.4,"ESTRECHO","ANCHO")</f>
        <v>ANCHO</v>
      </c>
      <c r="K108" s="92" t="s">
        <v>25</v>
      </c>
    </row>
    <row r="109" spans="2:11">
      <c r="B109" s="92">
        <v>6.3</v>
      </c>
      <c r="C109" s="92">
        <v>3.3</v>
      </c>
      <c r="D109" s="92">
        <v>6</v>
      </c>
      <c r="E109" s="92">
        <v>2.5</v>
      </c>
      <c r="F109" s="92" t="s">
        <v>27</v>
      </c>
      <c r="G109" s="92" t="str">
        <f>IF([1]!DataIris[[#This Row],[Largo de sépalo]]&lt;=5.5,"CORTO",IF([1]!DataIris[[#This Row],[Largo de sépalo]]&lt;=6.7,"MEDIANO","LARGO"))</f>
        <v>MEDIANO</v>
      </c>
      <c r="H109" s="92" t="str">
        <f>IF([1]!DataIris[[#This Row],[Ancho de sépalo]]&lt;=3.2,"ESTRECHO","ANCHO")</f>
        <v>ANCHO</v>
      </c>
      <c r="I109" s="92" t="str">
        <f>IF([1]!DataIris[[#This Row],[Largo de pétalo]]&lt;=3,"CORTO",IF([1]!DataIris[[#This Row],[Largo de pétalo]]&lt;=5,"MEDIANO","LARGO"))</f>
        <v>LARGO</v>
      </c>
      <c r="J109" s="92" t="str">
        <f>IF([1]!DataIris[[#This Row],[Ancho de pétalo]]&lt;=1.4,"ESTRECHO","ANCHO")</f>
        <v>ANCHO</v>
      </c>
      <c r="K109" s="92" t="s">
        <v>25</v>
      </c>
    </row>
    <row r="110" spans="2:11">
      <c r="B110" s="92">
        <v>6.4</v>
      </c>
      <c r="C110" s="92">
        <v>2.9</v>
      </c>
      <c r="D110" s="92">
        <v>4.3</v>
      </c>
      <c r="E110" s="92">
        <v>1.3</v>
      </c>
      <c r="F110" s="92" t="s">
        <v>26</v>
      </c>
      <c r="G110" s="92" t="str">
        <f>IF([1]!DataIris[[#This Row],[Largo de sépalo]]&lt;=5.5,"CORTO",IF([1]!DataIris[[#This Row],[Largo de sépalo]]&lt;=6.7,"MEDIANO","LARGO"))</f>
        <v>MEDIANO</v>
      </c>
      <c r="H110" s="92" t="str">
        <f>IF([1]!DataIris[[#This Row],[Ancho de sépalo]]&lt;=3.2,"ESTRECHO","ANCHO")</f>
        <v>ESTRECHO</v>
      </c>
      <c r="I110" s="92" t="str">
        <f>IF([1]!DataIris[[#This Row],[Largo de pétalo]]&lt;=3,"CORTO",IF([1]!DataIris[[#This Row],[Largo de pétalo]]&lt;=5,"MEDIANO","LARGO"))</f>
        <v>MEDIANO</v>
      </c>
      <c r="J110" s="92" t="str">
        <f>IF([1]!DataIris[[#This Row],[Ancho de pétalo]]&lt;=1.4,"ESTRECHO","ANCHO")</f>
        <v>ESTRECHO</v>
      </c>
      <c r="K110" s="92" t="s">
        <v>26</v>
      </c>
    </row>
    <row r="111" spans="2:11">
      <c r="B111" s="92">
        <v>6.4</v>
      </c>
      <c r="C111" s="92">
        <v>3.2</v>
      </c>
      <c r="D111" s="92">
        <v>4.5</v>
      </c>
      <c r="E111" s="92">
        <v>1.5</v>
      </c>
      <c r="F111" s="92" t="s">
        <v>26</v>
      </c>
      <c r="G111" s="92" t="str">
        <f>IF([1]!DataIris[[#This Row],[Largo de sépalo]]&lt;=5.5,"CORTO",IF([1]!DataIris[[#This Row],[Largo de sépalo]]&lt;=6.7,"MEDIANO","LARGO"))</f>
        <v>MEDIANO</v>
      </c>
      <c r="H111" s="92" t="str">
        <f>IF([1]!DataIris[[#This Row],[Ancho de sépalo]]&lt;=3.2,"ESTRECHO","ANCHO")</f>
        <v>ESTRECHO</v>
      </c>
      <c r="I111" s="92" t="str">
        <f>IF([1]!DataIris[[#This Row],[Largo de pétalo]]&lt;=3,"CORTO",IF([1]!DataIris[[#This Row],[Largo de pétalo]]&lt;=5,"MEDIANO","LARGO"))</f>
        <v>MEDIANO</v>
      </c>
      <c r="J111" s="92" t="str">
        <f>IF([1]!DataIris[[#This Row],[Ancho de pétalo]]&lt;=1.4,"ESTRECHO","ANCHO")</f>
        <v>ANCHO</v>
      </c>
      <c r="K111" s="92" t="s">
        <v>27</v>
      </c>
    </row>
    <row r="112" spans="2:11">
      <c r="B112" s="92">
        <v>6.4</v>
      </c>
      <c r="C112" s="92">
        <v>3.1</v>
      </c>
      <c r="D112" s="92">
        <v>5.5</v>
      </c>
      <c r="E112" s="92">
        <v>1.8</v>
      </c>
      <c r="F112" s="92" t="s">
        <v>27</v>
      </c>
      <c r="G112" s="92" t="str">
        <f>IF([1]!DataIris[[#This Row],[Largo de sépalo]]&lt;=5.5,"CORTO",IF([1]!DataIris[[#This Row],[Largo de sépalo]]&lt;=6.7,"MEDIANO","LARGO"))</f>
        <v>MEDIANO</v>
      </c>
      <c r="H112" s="92" t="str">
        <f>IF([1]!DataIris[[#This Row],[Ancho de sépalo]]&lt;=3.2,"ESTRECHO","ANCHO")</f>
        <v>ESTRECHO</v>
      </c>
      <c r="I112" s="92" t="str">
        <f>IF([1]!DataIris[[#This Row],[Largo de pétalo]]&lt;=3,"CORTO",IF([1]!DataIris[[#This Row],[Largo de pétalo]]&lt;=5,"MEDIANO","LARGO"))</f>
        <v>LARGO</v>
      </c>
      <c r="J112" s="92" t="str">
        <f>IF([1]!DataIris[[#This Row],[Ancho de pétalo]]&lt;=1.4,"ESTRECHO","ANCHO")</f>
        <v>ANCHO</v>
      </c>
      <c r="K112" s="92" t="s">
        <v>25</v>
      </c>
    </row>
    <row r="113" spans="2:11">
      <c r="B113" s="92">
        <v>6.4</v>
      </c>
      <c r="C113" s="92">
        <v>2.7</v>
      </c>
      <c r="D113" s="92">
        <v>5.3</v>
      </c>
      <c r="E113" s="92">
        <v>1.9</v>
      </c>
      <c r="F113" s="92" t="s">
        <v>27</v>
      </c>
      <c r="G113" s="92" t="str">
        <f>IF([1]!DataIris[[#This Row],[Largo de sépalo]]&lt;=5.5,"CORTO",IF([1]!DataIris[[#This Row],[Largo de sépalo]]&lt;=6.7,"MEDIANO","LARGO"))</f>
        <v>MEDIANO</v>
      </c>
      <c r="H113" s="92" t="str">
        <f>IF([1]!DataIris[[#This Row],[Ancho de sépalo]]&lt;=3.2,"ESTRECHO","ANCHO")</f>
        <v>ESTRECHO</v>
      </c>
      <c r="I113" s="92" t="str">
        <f>IF([1]!DataIris[[#This Row],[Largo de pétalo]]&lt;=3,"CORTO",IF([1]!DataIris[[#This Row],[Largo de pétalo]]&lt;=5,"MEDIANO","LARGO"))</f>
        <v>LARGO</v>
      </c>
      <c r="J113" s="92" t="str">
        <f>IF([1]!DataIris[[#This Row],[Ancho de pétalo]]&lt;=1.4,"ESTRECHO","ANCHO")</f>
        <v>ANCHO</v>
      </c>
      <c r="K113" s="92" t="s">
        <v>25</v>
      </c>
    </row>
    <row r="114" spans="2:11">
      <c r="B114" s="92">
        <v>6.4</v>
      </c>
      <c r="C114" s="92">
        <v>2.8</v>
      </c>
      <c r="D114" s="92">
        <v>5.6</v>
      </c>
      <c r="E114" s="92">
        <v>2.1</v>
      </c>
      <c r="F114" s="92" t="s">
        <v>27</v>
      </c>
      <c r="G114" s="92" t="str">
        <f>IF([1]!DataIris[[#This Row],[Largo de sépalo]]&lt;=5.5,"CORTO",IF([1]!DataIris[[#This Row],[Largo de sépalo]]&lt;=6.7,"MEDIANO","LARGO"))</f>
        <v>MEDIANO</v>
      </c>
      <c r="H114" s="92" t="str">
        <f>IF([1]!DataIris[[#This Row],[Ancho de sépalo]]&lt;=3.2,"ESTRECHO","ANCHO")</f>
        <v>ESTRECHO</v>
      </c>
      <c r="I114" s="92" t="str">
        <f>IF([1]!DataIris[[#This Row],[Largo de pétalo]]&lt;=3,"CORTO",IF([1]!DataIris[[#This Row],[Largo de pétalo]]&lt;=5,"MEDIANO","LARGO"))</f>
        <v>LARGO</v>
      </c>
      <c r="J114" s="92" t="str">
        <f>IF([1]!DataIris[[#This Row],[Ancho de pétalo]]&lt;=1.4,"ESTRECHO","ANCHO")</f>
        <v>ANCHO</v>
      </c>
      <c r="K114" s="92" t="s">
        <v>25</v>
      </c>
    </row>
    <row r="115" spans="2:11">
      <c r="B115" s="92">
        <v>6.4</v>
      </c>
      <c r="C115" s="92">
        <v>2.8</v>
      </c>
      <c r="D115" s="92">
        <v>5.6</v>
      </c>
      <c r="E115" s="92">
        <v>2.2000000000000002</v>
      </c>
      <c r="F115" s="92" t="s">
        <v>27</v>
      </c>
      <c r="G115" s="92" t="str">
        <f>IF([1]!DataIris[[#This Row],[Largo de sépalo]]&lt;=5.5,"CORTO",IF([1]!DataIris[[#This Row],[Largo de sépalo]]&lt;=6.7,"MEDIANO","LARGO"))</f>
        <v>MEDIANO</v>
      </c>
      <c r="H115" s="92" t="str">
        <f>IF([1]!DataIris[[#This Row],[Ancho de sépalo]]&lt;=3.2,"ESTRECHO","ANCHO")</f>
        <v>ESTRECHO</v>
      </c>
      <c r="I115" s="92" t="str">
        <f>IF([1]!DataIris[[#This Row],[Largo de pétalo]]&lt;=3,"CORTO",IF([1]!DataIris[[#This Row],[Largo de pétalo]]&lt;=5,"MEDIANO","LARGO"))</f>
        <v>LARGO</v>
      </c>
      <c r="J115" s="92" t="str">
        <f>IF([1]!DataIris[[#This Row],[Ancho de pétalo]]&lt;=1.4,"ESTRECHO","ANCHO")</f>
        <v>ANCHO</v>
      </c>
      <c r="K115" s="92" t="s">
        <v>25</v>
      </c>
    </row>
    <row r="116" spans="2:11">
      <c r="B116" s="92">
        <v>6.4</v>
      </c>
      <c r="C116" s="92">
        <v>3.2</v>
      </c>
      <c r="D116" s="92">
        <v>5.3</v>
      </c>
      <c r="E116" s="92">
        <v>2.2999999999999998</v>
      </c>
      <c r="F116" s="92" t="s">
        <v>27</v>
      </c>
      <c r="G116" s="92" t="str">
        <f>IF([1]!DataIris[[#This Row],[Largo de sépalo]]&lt;=5.5,"CORTO",IF([1]!DataIris[[#This Row],[Largo de sépalo]]&lt;=6.7,"MEDIANO","LARGO"))</f>
        <v>MEDIANO</v>
      </c>
      <c r="H116" s="92" t="str">
        <f>IF([1]!DataIris[[#This Row],[Ancho de sépalo]]&lt;=3.2,"ESTRECHO","ANCHO")</f>
        <v>ESTRECHO</v>
      </c>
      <c r="I116" s="92" t="str">
        <f>IF([1]!DataIris[[#This Row],[Largo de pétalo]]&lt;=3,"CORTO",IF([1]!DataIris[[#This Row],[Largo de pétalo]]&lt;=5,"MEDIANO","LARGO"))</f>
        <v>LARGO</v>
      </c>
      <c r="J116" s="92" t="str">
        <f>IF([1]!DataIris[[#This Row],[Ancho de pétalo]]&lt;=1.4,"ESTRECHO","ANCHO")</f>
        <v>ANCHO</v>
      </c>
      <c r="K116" s="92" t="s">
        <v>25</v>
      </c>
    </row>
    <row r="117" spans="2:11">
      <c r="B117" s="92">
        <v>6.5</v>
      </c>
      <c r="C117" s="92">
        <v>2.8</v>
      </c>
      <c r="D117" s="92">
        <v>4.5999999999999996</v>
      </c>
      <c r="E117" s="92">
        <v>1.5</v>
      </c>
      <c r="F117" s="92" t="s">
        <v>26</v>
      </c>
      <c r="G117" s="92" t="str">
        <f>IF([1]!DataIris[[#This Row],[Largo de sépalo]]&lt;=5.5,"CORTO",IF([1]!DataIris[[#This Row],[Largo de sépalo]]&lt;=6.7,"MEDIANO","LARGO"))</f>
        <v>MEDIANO</v>
      </c>
      <c r="H117" s="92" t="str">
        <f>IF([1]!DataIris[[#This Row],[Ancho de sépalo]]&lt;=3.2,"ESTRECHO","ANCHO")</f>
        <v>ESTRECHO</v>
      </c>
      <c r="I117" s="92" t="str">
        <f>IF([1]!DataIris[[#This Row],[Largo de pétalo]]&lt;=3,"CORTO",IF([1]!DataIris[[#This Row],[Largo de pétalo]]&lt;=5,"MEDIANO","LARGO"))</f>
        <v>MEDIANO</v>
      </c>
      <c r="J117" s="92" t="str">
        <f>IF([1]!DataIris[[#This Row],[Ancho de pétalo]]&lt;=1.4,"ESTRECHO","ANCHO")</f>
        <v>ANCHO</v>
      </c>
      <c r="K117" s="92" t="s">
        <v>25</v>
      </c>
    </row>
    <row r="118" spans="2:11">
      <c r="B118" s="92">
        <v>6.5</v>
      </c>
      <c r="C118" s="92">
        <v>3</v>
      </c>
      <c r="D118" s="92">
        <v>5.5</v>
      </c>
      <c r="E118" s="92">
        <v>1.8</v>
      </c>
      <c r="F118" s="92" t="s">
        <v>27</v>
      </c>
      <c r="G118" s="92" t="str">
        <f>IF([1]!DataIris[[#This Row],[Largo de sépalo]]&lt;=5.5,"CORTO",IF([1]!DataIris[[#This Row],[Largo de sépalo]]&lt;=6.7,"MEDIANO","LARGO"))</f>
        <v>MEDIANO</v>
      </c>
      <c r="H118" s="92" t="str">
        <f>IF([1]!DataIris[[#This Row],[Ancho de sépalo]]&lt;=3.2,"ESTRECHO","ANCHO")</f>
        <v>ESTRECHO</v>
      </c>
      <c r="I118" s="92" t="str">
        <f>IF([1]!DataIris[[#This Row],[Largo de pétalo]]&lt;=3,"CORTO",IF([1]!DataIris[[#This Row],[Largo de pétalo]]&lt;=5,"MEDIANO","LARGO"))</f>
        <v>LARGO</v>
      </c>
      <c r="J118" s="92" t="str">
        <f>IF([1]!DataIris[[#This Row],[Ancho de pétalo]]&lt;=1.4,"ESTRECHO","ANCHO")</f>
        <v>ANCHO</v>
      </c>
      <c r="K118" s="92" t="s">
        <v>25</v>
      </c>
    </row>
    <row r="119" spans="2:11">
      <c r="B119" s="92">
        <v>6.5</v>
      </c>
      <c r="C119" s="92">
        <v>3.2</v>
      </c>
      <c r="D119" s="92">
        <v>5.0999999999999996</v>
      </c>
      <c r="E119" s="92">
        <v>2</v>
      </c>
      <c r="F119" s="92" t="s">
        <v>27</v>
      </c>
      <c r="G119" s="92" t="str">
        <f>IF([1]!DataIris[[#This Row],[Largo de sépalo]]&lt;=5.5,"CORTO",IF([1]!DataIris[[#This Row],[Largo de sépalo]]&lt;=6.7,"MEDIANO","LARGO"))</f>
        <v>MEDIANO</v>
      </c>
      <c r="H119" s="92" t="str">
        <f>IF([1]!DataIris[[#This Row],[Ancho de sépalo]]&lt;=3.2,"ESTRECHO","ANCHO")</f>
        <v>ESTRECHO</v>
      </c>
      <c r="I119" s="92" t="str">
        <f>IF([1]!DataIris[[#This Row],[Largo de pétalo]]&lt;=3,"CORTO",IF([1]!DataIris[[#This Row],[Largo de pétalo]]&lt;=5,"MEDIANO","LARGO"))</f>
        <v>LARGO</v>
      </c>
      <c r="J119" s="92" t="str">
        <f>IF([1]!DataIris[[#This Row],[Ancho de pétalo]]&lt;=1.4,"ESTRECHO","ANCHO")</f>
        <v>ANCHO</v>
      </c>
      <c r="K119" s="92" t="s">
        <v>25</v>
      </c>
    </row>
    <row r="120" spans="2:11">
      <c r="B120" s="92">
        <v>6.5</v>
      </c>
      <c r="C120" s="92">
        <v>3</v>
      </c>
      <c r="D120" s="92">
        <v>5.2</v>
      </c>
      <c r="E120" s="92">
        <v>2</v>
      </c>
      <c r="F120" s="92" t="s">
        <v>27</v>
      </c>
      <c r="G120" s="92" t="str">
        <f>IF([1]!DataIris[[#This Row],[Largo de sépalo]]&lt;=5.5,"CORTO",IF([1]!DataIris[[#This Row],[Largo de sépalo]]&lt;=6.7,"MEDIANO","LARGO"))</f>
        <v>MEDIANO</v>
      </c>
      <c r="H120" s="92" t="str">
        <f>IF([1]!DataIris[[#This Row],[Ancho de sépalo]]&lt;=3.2,"ESTRECHO","ANCHO")</f>
        <v>ESTRECHO</v>
      </c>
      <c r="I120" s="92" t="str">
        <f>IF([1]!DataIris[[#This Row],[Largo de pétalo]]&lt;=3,"CORTO",IF([1]!DataIris[[#This Row],[Largo de pétalo]]&lt;=5,"MEDIANO","LARGO"))</f>
        <v>LARGO</v>
      </c>
      <c r="J120" s="92" t="str">
        <f>IF([1]!DataIris[[#This Row],[Ancho de pétalo]]&lt;=1.4,"ESTRECHO","ANCHO")</f>
        <v>ANCHO</v>
      </c>
      <c r="K120" s="92" t="s">
        <v>26</v>
      </c>
    </row>
    <row r="121" spans="2:11">
      <c r="B121" s="92">
        <v>6.5</v>
      </c>
      <c r="C121" s="92">
        <v>3</v>
      </c>
      <c r="D121" s="92">
        <v>5.8</v>
      </c>
      <c r="E121" s="92">
        <v>2.2000000000000002</v>
      </c>
      <c r="F121" s="92" t="s">
        <v>27</v>
      </c>
      <c r="G121" s="92" t="str">
        <f>IF([1]!DataIris[[#This Row],[Largo de sépalo]]&lt;=5.5,"CORTO",IF([1]!DataIris[[#This Row],[Largo de sépalo]]&lt;=6.7,"MEDIANO","LARGO"))</f>
        <v>MEDIANO</v>
      </c>
      <c r="H121" s="92" t="str">
        <f>IF([1]!DataIris[[#This Row],[Ancho de sépalo]]&lt;=3.2,"ESTRECHO","ANCHO")</f>
        <v>ESTRECHO</v>
      </c>
      <c r="I121" s="92" t="str">
        <f>IF([1]!DataIris[[#This Row],[Largo de pétalo]]&lt;=3,"CORTO",IF([1]!DataIris[[#This Row],[Largo de pétalo]]&lt;=5,"MEDIANO","LARGO"))</f>
        <v>LARGO</v>
      </c>
      <c r="J121" s="92" t="str">
        <f>IF([1]!DataIris[[#This Row],[Ancho de pétalo]]&lt;=1.4,"ESTRECHO","ANCHO")</f>
        <v>ANCHO</v>
      </c>
      <c r="K121" s="92" t="s">
        <v>26</v>
      </c>
    </row>
    <row r="122" spans="2:11">
      <c r="B122" s="92">
        <v>6.6</v>
      </c>
      <c r="C122" s="92">
        <v>2.9</v>
      </c>
      <c r="D122" s="92">
        <v>4.5999999999999996</v>
      </c>
      <c r="E122" s="92">
        <v>1.3</v>
      </c>
      <c r="F122" s="92" t="s">
        <v>26</v>
      </c>
      <c r="G122" s="92" t="str">
        <f>IF([1]!DataIris[[#This Row],[Largo de sépalo]]&lt;=5.5,"CORTO",IF([1]!DataIris[[#This Row],[Largo de sépalo]]&lt;=6.7,"MEDIANO","LARGO"))</f>
        <v>MEDIANO</v>
      </c>
      <c r="H122" s="92" t="str">
        <f>IF([1]!DataIris[[#This Row],[Ancho de sépalo]]&lt;=3.2,"ESTRECHO","ANCHO")</f>
        <v>ESTRECHO</v>
      </c>
      <c r="I122" s="92" t="str">
        <f>IF([1]!DataIris[[#This Row],[Largo de pétalo]]&lt;=3,"CORTO",IF([1]!DataIris[[#This Row],[Largo de pétalo]]&lt;=5,"MEDIANO","LARGO"))</f>
        <v>MEDIANO</v>
      </c>
      <c r="J122" s="92" t="str">
        <f>IF([1]!DataIris[[#This Row],[Ancho de pétalo]]&lt;=1.4,"ESTRECHO","ANCHO")</f>
        <v>ESTRECHO</v>
      </c>
      <c r="K122" s="92" t="s">
        <v>25</v>
      </c>
    </row>
    <row r="123" spans="2:11">
      <c r="B123" s="92">
        <v>6.6</v>
      </c>
      <c r="C123" s="92">
        <v>3</v>
      </c>
      <c r="D123" s="92">
        <v>4.4000000000000004</v>
      </c>
      <c r="E123" s="92">
        <v>1.4</v>
      </c>
      <c r="F123" s="92" t="s">
        <v>26</v>
      </c>
      <c r="G123" s="92" t="str">
        <f>IF([1]!DataIris[[#This Row],[Largo de sépalo]]&lt;=5.5,"CORTO",IF([1]!DataIris[[#This Row],[Largo de sépalo]]&lt;=6.7,"MEDIANO","LARGO"))</f>
        <v>MEDIANO</v>
      </c>
      <c r="H123" s="92" t="str">
        <f>IF([1]!DataIris[[#This Row],[Ancho de sépalo]]&lt;=3.2,"ESTRECHO","ANCHO")</f>
        <v>ESTRECHO</v>
      </c>
      <c r="I123" s="92" t="str">
        <f>IF([1]!DataIris[[#This Row],[Largo de pétalo]]&lt;=3,"CORTO",IF([1]!DataIris[[#This Row],[Largo de pétalo]]&lt;=5,"MEDIANO","LARGO"))</f>
        <v>MEDIANO</v>
      </c>
      <c r="J123" s="92" t="str">
        <f>IF([1]!DataIris[[#This Row],[Ancho de pétalo]]&lt;=1.4,"ESTRECHO","ANCHO")</f>
        <v>ESTRECHO</v>
      </c>
      <c r="K123" s="92" t="s">
        <v>25</v>
      </c>
    </row>
    <row r="124" spans="2:11">
      <c r="B124" s="92">
        <v>6.7</v>
      </c>
      <c r="C124" s="92">
        <v>3.1</v>
      </c>
      <c r="D124" s="92">
        <v>4.4000000000000004</v>
      </c>
      <c r="E124" s="92">
        <v>1.4</v>
      </c>
      <c r="F124" s="92" t="s">
        <v>26</v>
      </c>
      <c r="G124" s="92" t="str">
        <f>IF([1]!DataIris[[#This Row],[Largo de sépalo]]&lt;=5.5,"CORTO",IF([1]!DataIris[[#This Row],[Largo de sépalo]]&lt;=6.7,"MEDIANO","LARGO"))</f>
        <v>MEDIANO</v>
      </c>
      <c r="H124" s="92" t="str">
        <f>IF([1]!DataIris[[#This Row],[Ancho de sépalo]]&lt;=3.2,"ESTRECHO","ANCHO")</f>
        <v>ESTRECHO</v>
      </c>
      <c r="I124" s="92" t="str">
        <f>IF([1]!DataIris[[#This Row],[Largo de pétalo]]&lt;=3,"CORTO",IF([1]!DataIris[[#This Row],[Largo de pétalo]]&lt;=5,"MEDIANO","LARGO"))</f>
        <v>MEDIANO</v>
      </c>
      <c r="J124" s="92" t="str">
        <f>IF([1]!DataIris[[#This Row],[Ancho de pétalo]]&lt;=1.4,"ESTRECHO","ANCHO")</f>
        <v>ESTRECHO</v>
      </c>
      <c r="K124" s="92" t="s">
        <v>25</v>
      </c>
    </row>
    <row r="125" spans="2:11">
      <c r="B125" s="92">
        <v>6.7</v>
      </c>
      <c r="C125" s="92">
        <v>3.1</v>
      </c>
      <c r="D125" s="92">
        <v>4.7</v>
      </c>
      <c r="E125" s="92">
        <v>1.5</v>
      </c>
      <c r="F125" s="92" t="s">
        <v>26</v>
      </c>
      <c r="G125" s="92" t="str">
        <f>IF([1]!DataIris[[#This Row],[Largo de sépalo]]&lt;=5.5,"CORTO",IF([1]!DataIris[[#This Row],[Largo de sépalo]]&lt;=6.7,"MEDIANO","LARGO"))</f>
        <v>MEDIANO</v>
      </c>
      <c r="H125" s="92" t="str">
        <f>IF([1]!DataIris[[#This Row],[Ancho de sépalo]]&lt;=3.2,"ESTRECHO","ANCHO")</f>
        <v>ESTRECHO</v>
      </c>
      <c r="I125" s="92" t="str">
        <f>IF([1]!DataIris[[#This Row],[Largo de pétalo]]&lt;=3,"CORTO",IF([1]!DataIris[[#This Row],[Largo de pétalo]]&lt;=5,"MEDIANO","LARGO"))</f>
        <v>MEDIANO</v>
      </c>
      <c r="J125" s="92" t="str">
        <f>IF([1]!DataIris[[#This Row],[Ancho de pétalo]]&lt;=1.4,"ESTRECHO","ANCHO")</f>
        <v>ANCHO</v>
      </c>
      <c r="K125" s="92" t="s">
        <v>25</v>
      </c>
    </row>
    <row r="126" spans="2:11">
      <c r="B126" s="92">
        <v>6.7</v>
      </c>
      <c r="C126" s="92">
        <v>3</v>
      </c>
      <c r="D126" s="92">
        <v>5</v>
      </c>
      <c r="E126" s="92">
        <v>1.7</v>
      </c>
      <c r="F126" s="92" t="s">
        <v>26</v>
      </c>
      <c r="G126" s="92" t="str">
        <f>IF([1]!DataIris[[#This Row],[Largo de sépalo]]&lt;=5.5,"CORTO",IF([1]!DataIris[[#This Row],[Largo de sépalo]]&lt;=6.7,"MEDIANO","LARGO"))</f>
        <v>MEDIANO</v>
      </c>
      <c r="H126" s="92" t="str">
        <f>IF([1]!DataIris[[#This Row],[Ancho de sépalo]]&lt;=3.2,"ESTRECHO","ANCHO")</f>
        <v>ESTRECHO</v>
      </c>
      <c r="I126" s="92" t="str">
        <f>IF([1]!DataIris[[#This Row],[Largo de pétalo]]&lt;=3,"CORTO",IF([1]!DataIris[[#This Row],[Largo de pétalo]]&lt;=5,"MEDIANO","LARGO"))</f>
        <v>MEDIANO</v>
      </c>
      <c r="J126" s="92" t="str">
        <f>IF([1]!DataIris[[#This Row],[Ancho de pétalo]]&lt;=1.4,"ESTRECHO","ANCHO")</f>
        <v>ANCHO</v>
      </c>
      <c r="K126" s="92" t="s">
        <v>25</v>
      </c>
    </row>
    <row r="127" spans="2:11">
      <c r="B127" s="92">
        <v>6.7</v>
      </c>
      <c r="C127" s="92">
        <v>2.5</v>
      </c>
      <c r="D127" s="92">
        <v>5.8</v>
      </c>
      <c r="E127" s="92">
        <v>1.8</v>
      </c>
      <c r="F127" s="92" t="s">
        <v>27</v>
      </c>
      <c r="G127" s="92" t="str">
        <f>IF([1]!DataIris[[#This Row],[Largo de sépalo]]&lt;=5.5,"CORTO",IF([1]!DataIris[[#This Row],[Largo de sépalo]]&lt;=6.7,"MEDIANO","LARGO"))</f>
        <v>MEDIANO</v>
      </c>
      <c r="H127" s="92" t="str">
        <f>IF([1]!DataIris[[#This Row],[Ancho de sépalo]]&lt;=3.2,"ESTRECHO","ANCHO")</f>
        <v>ESTRECHO</v>
      </c>
      <c r="I127" s="92" t="str">
        <f>IF([1]!DataIris[[#This Row],[Largo de pétalo]]&lt;=3,"CORTO",IF([1]!DataIris[[#This Row],[Largo de pétalo]]&lt;=5,"MEDIANO","LARGO"))</f>
        <v>LARGO</v>
      </c>
      <c r="J127" s="92" t="str">
        <f>IF([1]!DataIris[[#This Row],[Ancho de pétalo]]&lt;=1.4,"ESTRECHO","ANCHO")</f>
        <v>ANCHO</v>
      </c>
      <c r="K127" s="92" t="s">
        <v>25</v>
      </c>
    </row>
    <row r="128" spans="2:11">
      <c r="B128" s="92">
        <v>6.7</v>
      </c>
      <c r="C128" s="92">
        <v>3.3</v>
      </c>
      <c r="D128" s="92">
        <v>5.7</v>
      </c>
      <c r="E128" s="92">
        <v>2.1</v>
      </c>
      <c r="F128" s="92" t="s">
        <v>27</v>
      </c>
      <c r="G128" s="92" t="str">
        <f>IF([1]!DataIris[[#This Row],[Largo de sépalo]]&lt;=5.5,"CORTO",IF([1]!DataIris[[#This Row],[Largo de sépalo]]&lt;=6.7,"MEDIANO","LARGO"))</f>
        <v>MEDIANO</v>
      </c>
      <c r="H128" s="92" t="str">
        <f>IF([1]!DataIris[[#This Row],[Ancho de sépalo]]&lt;=3.2,"ESTRECHO","ANCHO")</f>
        <v>ANCHO</v>
      </c>
      <c r="I128" s="92" t="str">
        <f>IF([1]!DataIris[[#This Row],[Largo de pétalo]]&lt;=3,"CORTO",IF([1]!DataIris[[#This Row],[Largo de pétalo]]&lt;=5,"MEDIANO","LARGO"))</f>
        <v>LARGO</v>
      </c>
      <c r="J128" s="92" t="str">
        <f>IF([1]!DataIris[[#This Row],[Ancho de pétalo]]&lt;=1.4,"ESTRECHO","ANCHO")</f>
        <v>ANCHO</v>
      </c>
      <c r="K128" s="92" t="s">
        <v>25</v>
      </c>
    </row>
    <row r="129" spans="2:11">
      <c r="B129" s="92">
        <v>6.7</v>
      </c>
      <c r="C129" s="92">
        <v>3</v>
      </c>
      <c r="D129" s="92">
        <v>5.2</v>
      </c>
      <c r="E129" s="92">
        <v>2.2999999999999998</v>
      </c>
      <c r="F129" s="92" t="s">
        <v>27</v>
      </c>
      <c r="G129" s="92" t="str">
        <f>IF([1]!DataIris[[#This Row],[Largo de sépalo]]&lt;=5.5,"CORTO",IF([1]!DataIris[[#This Row],[Largo de sépalo]]&lt;=6.7,"MEDIANO","LARGO"))</f>
        <v>MEDIANO</v>
      </c>
      <c r="H129" s="92" t="str">
        <f>IF([1]!DataIris[[#This Row],[Ancho de sépalo]]&lt;=3.2,"ESTRECHO","ANCHO")</f>
        <v>ESTRECHO</v>
      </c>
      <c r="I129" s="92" t="str">
        <f>IF([1]!DataIris[[#This Row],[Largo de pétalo]]&lt;=3,"CORTO",IF([1]!DataIris[[#This Row],[Largo de pétalo]]&lt;=5,"MEDIANO","LARGO"))</f>
        <v>LARGO</v>
      </c>
      <c r="J129" s="92" t="str">
        <f>IF([1]!DataIris[[#This Row],[Ancho de pétalo]]&lt;=1.4,"ESTRECHO","ANCHO")</f>
        <v>ANCHO</v>
      </c>
      <c r="K129" s="92" t="s">
        <v>25</v>
      </c>
    </row>
    <row r="130" spans="2:11">
      <c r="B130" s="92">
        <v>6.7</v>
      </c>
      <c r="C130" s="92">
        <v>3.1</v>
      </c>
      <c r="D130" s="92">
        <v>5.6</v>
      </c>
      <c r="E130" s="92">
        <v>2.4</v>
      </c>
      <c r="F130" s="92" t="s">
        <v>27</v>
      </c>
      <c r="G130" s="92" t="str">
        <f>IF([1]!DataIris[[#This Row],[Largo de sépalo]]&lt;=5.5,"CORTO",IF([1]!DataIris[[#This Row],[Largo de sépalo]]&lt;=6.7,"MEDIANO","LARGO"))</f>
        <v>MEDIANO</v>
      </c>
      <c r="H130" s="92" t="str">
        <f>IF([1]!DataIris[[#This Row],[Ancho de sépalo]]&lt;=3.2,"ESTRECHO","ANCHO")</f>
        <v>ESTRECHO</v>
      </c>
      <c r="I130" s="92" t="str">
        <f>IF([1]!DataIris[[#This Row],[Largo de pétalo]]&lt;=3,"CORTO",IF([1]!DataIris[[#This Row],[Largo de pétalo]]&lt;=5,"MEDIANO","LARGO"))</f>
        <v>LARGO</v>
      </c>
      <c r="J130" s="92" t="str">
        <f>IF([1]!DataIris[[#This Row],[Ancho de pétalo]]&lt;=1.4,"ESTRECHO","ANCHO")</f>
        <v>ANCHO</v>
      </c>
      <c r="K130" s="92" t="s">
        <v>25</v>
      </c>
    </row>
    <row r="131" spans="2:11">
      <c r="B131" s="92">
        <v>6.7</v>
      </c>
      <c r="C131" s="92">
        <v>3.3</v>
      </c>
      <c r="D131" s="92">
        <v>5.7</v>
      </c>
      <c r="E131" s="92">
        <v>2.5</v>
      </c>
      <c r="F131" s="92" t="s">
        <v>27</v>
      </c>
      <c r="G131" s="92" t="str">
        <f>IF([1]!DataIris[[#This Row],[Largo de sépalo]]&lt;=5.5,"CORTO",IF([1]!DataIris[[#This Row],[Largo de sépalo]]&lt;=6.7,"MEDIANO","LARGO"))</f>
        <v>MEDIANO</v>
      </c>
      <c r="H131" s="92" t="str">
        <f>IF([1]!DataIris[[#This Row],[Ancho de sépalo]]&lt;=3.2,"ESTRECHO","ANCHO")</f>
        <v>ANCHO</v>
      </c>
      <c r="I131" s="92" t="str">
        <f>IF([1]!DataIris[[#This Row],[Largo de pétalo]]&lt;=3,"CORTO",IF([1]!DataIris[[#This Row],[Largo de pétalo]]&lt;=5,"MEDIANO","LARGO"))</f>
        <v>LARGO</v>
      </c>
      <c r="J131" s="92" t="str">
        <f>IF([1]!DataIris[[#This Row],[Ancho de pétalo]]&lt;=1.4,"ESTRECHO","ANCHO")</f>
        <v>ANCHO</v>
      </c>
      <c r="K131" s="92" t="s">
        <v>26</v>
      </c>
    </row>
    <row r="132" spans="2:11">
      <c r="B132" s="92">
        <v>6.8</v>
      </c>
      <c r="C132" s="92">
        <v>2.8</v>
      </c>
      <c r="D132" s="92">
        <v>4.8</v>
      </c>
      <c r="E132" s="92">
        <v>1.4</v>
      </c>
      <c r="F132" s="92" t="s">
        <v>26</v>
      </c>
      <c r="G132" s="92" t="str">
        <f>IF([1]!DataIris[[#This Row],[Largo de sépalo]]&lt;=5.5,"CORTO",IF([1]!DataIris[[#This Row],[Largo de sépalo]]&lt;=6.7,"MEDIANO","LARGO"))</f>
        <v>LARGO</v>
      </c>
      <c r="H132" s="92" t="str">
        <f>IF([1]!DataIris[[#This Row],[Ancho de sépalo]]&lt;=3.2,"ESTRECHO","ANCHO")</f>
        <v>ESTRECHO</v>
      </c>
      <c r="I132" s="92" t="str">
        <f>IF([1]!DataIris[[#This Row],[Largo de pétalo]]&lt;=3,"CORTO",IF([1]!DataIris[[#This Row],[Largo de pétalo]]&lt;=5,"MEDIANO","LARGO"))</f>
        <v>MEDIANO</v>
      </c>
      <c r="J132" s="92" t="str">
        <f>IF([1]!DataIris[[#This Row],[Ancho de pétalo]]&lt;=1.4,"ESTRECHO","ANCHO")</f>
        <v>ESTRECHO</v>
      </c>
      <c r="K132" s="92" t="s">
        <v>25</v>
      </c>
    </row>
    <row r="133" spans="2:11">
      <c r="B133" s="92">
        <v>6.8</v>
      </c>
      <c r="C133" s="92">
        <v>3</v>
      </c>
      <c r="D133" s="92">
        <v>5.5</v>
      </c>
      <c r="E133" s="92">
        <v>2.1</v>
      </c>
      <c r="F133" s="92" t="s">
        <v>27</v>
      </c>
      <c r="G133" s="92" t="str">
        <f>IF([1]!DataIris[[#This Row],[Largo de sépalo]]&lt;=5.5,"CORTO",IF([1]!DataIris[[#This Row],[Largo de sépalo]]&lt;=6.7,"MEDIANO","LARGO"))</f>
        <v>LARGO</v>
      </c>
      <c r="H133" s="92" t="str">
        <f>IF([1]!DataIris[[#This Row],[Ancho de sépalo]]&lt;=3.2,"ESTRECHO","ANCHO")</f>
        <v>ESTRECHO</v>
      </c>
      <c r="I133" s="92" t="str">
        <f>IF([1]!DataIris[[#This Row],[Largo de pétalo]]&lt;=3,"CORTO",IF([1]!DataIris[[#This Row],[Largo de pétalo]]&lt;=5,"MEDIANO","LARGO"))</f>
        <v>LARGO</v>
      </c>
      <c r="J133" s="92" t="str">
        <f>IF([1]!DataIris[[#This Row],[Ancho de pétalo]]&lt;=1.4,"ESTRECHO","ANCHO")</f>
        <v>ANCHO</v>
      </c>
      <c r="K133" s="92" t="s">
        <v>25</v>
      </c>
    </row>
    <row r="134" spans="2:11">
      <c r="B134" s="92">
        <v>6.8</v>
      </c>
      <c r="C134" s="92">
        <v>3.2</v>
      </c>
      <c r="D134" s="92">
        <v>5.9</v>
      </c>
      <c r="E134" s="92">
        <v>2.2999999999999998</v>
      </c>
      <c r="F134" s="92" t="s">
        <v>27</v>
      </c>
      <c r="G134" s="92" t="str">
        <f>IF([1]!DataIris[[#This Row],[Largo de sépalo]]&lt;=5.5,"CORTO",IF([1]!DataIris[[#This Row],[Largo de sépalo]]&lt;=6.7,"MEDIANO","LARGO"))</f>
        <v>LARGO</v>
      </c>
      <c r="H134" s="92" t="str">
        <f>IF([1]!DataIris[[#This Row],[Ancho de sépalo]]&lt;=3.2,"ESTRECHO","ANCHO")</f>
        <v>ESTRECHO</v>
      </c>
      <c r="I134" s="92" t="str">
        <f>IF([1]!DataIris[[#This Row],[Largo de pétalo]]&lt;=3,"CORTO",IF([1]!DataIris[[#This Row],[Largo de pétalo]]&lt;=5,"MEDIANO","LARGO"))</f>
        <v>LARGO</v>
      </c>
      <c r="J134" s="92" t="str">
        <f>IF([1]!DataIris[[#This Row],[Ancho de pétalo]]&lt;=1.4,"ESTRECHO","ANCHO")</f>
        <v>ANCHO</v>
      </c>
      <c r="K134" s="92" t="s">
        <v>25</v>
      </c>
    </row>
    <row r="135" spans="2:11">
      <c r="B135" s="92">
        <v>6.9</v>
      </c>
      <c r="C135" s="92">
        <v>3.1</v>
      </c>
      <c r="D135" s="92">
        <v>4.9000000000000004</v>
      </c>
      <c r="E135" s="92">
        <v>1.5</v>
      </c>
      <c r="F135" s="92" t="s">
        <v>26</v>
      </c>
      <c r="G135" s="92" t="str">
        <f>IF([1]!DataIris[[#This Row],[Largo de sépalo]]&lt;=5.5,"CORTO",IF([1]!DataIris[[#This Row],[Largo de sépalo]]&lt;=6.7,"MEDIANO","LARGO"))</f>
        <v>LARGO</v>
      </c>
      <c r="H135" s="92" t="str">
        <f>IF([1]!DataIris[[#This Row],[Ancho de sépalo]]&lt;=3.2,"ESTRECHO","ANCHO")</f>
        <v>ESTRECHO</v>
      </c>
      <c r="I135" s="92" t="str">
        <f>IF([1]!DataIris[[#This Row],[Largo de pétalo]]&lt;=3,"CORTO",IF([1]!DataIris[[#This Row],[Largo de pétalo]]&lt;=5,"MEDIANO","LARGO"))</f>
        <v>MEDIANO</v>
      </c>
      <c r="J135" s="92" t="str">
        <f>IF([1]!DataIris[[#This Row],[Ancho de pétalo]]&lt;=1.4,"ESTRECHO","ANCHO")</f>
        <v>ANCHO</v>
      </c>
      <c r="K135" s="92" t="s">
        <v>25</v>
      </c>
    </row>
    <row r="136" spans="2:11">
      <c r="B136" s="92">
        <v>6.9</v>
      </c>
      <c r="C136" s="92">
        <v>3.1</v>
      </c>
      <c r="D136" s="92">
        <v>5.4</v>
      </c>
      <c r="E136" s="92">
        <v>2.1</v>
      </c>
      <c r="F136" s="92" t="s">
        <v>27</v>
      </c>
      <c r="G136" s="92" t="str">
        <f>IF([1]!DataIris[[#This Row],[Largo de sépalo]]&lt;=5.5,"CORTO",IF([1]!DataIris[[#This Row],[Largo de sépalo]]&lt;=6.7,"MEDIANO","LARGO"))</f>
        <v>LARGO</v>
      </c>
      <c r="H136" s="92" t="str">
        <f>IF([1]!DataIris[[#This Row],[Ancho de sépalo]]&lt;=3.2,"ESTRECHO","ANCHO")</f>
        <v>ESTRECHO</v>
      </c>
      <c r="I136" s="92" t="str">
        <f>IF([1]!DataIris[[#This Row],[Largo de pétalo]]&lt;=3,"CORTO",IF([1]!DataIris[[#This Row],[Largo de pétalo]]&lt;=5,"MEDIANO","LARGO"))</f>
        <v>LARGO</v>
      </c>
      <c r="J136" s="92" t="str">
        <f>IF([1]!DataIris[[#This Row],[Ancho de pétalo]]&lt;=1.4,"ESTRECHO","ANCHO")</f>
        <v>ANCHO</v>
      </c>
      <c r="K136" s="92" t="s">
        <v>26</v>
      </c>
    </row>
    <row r="137" spans="2:11">
      <c r="B137" s="92">
        <v>6.9</v>
      </c>
      <c r="C137" s="92">
        <v>3.1</v>
      </c>
      <c r="D137" s="92">
        <v>5.0999999999999996</v>
      </c>
      <c r="E137" s="92">
        <v>2.2999999999999998</v>
      </c>
      <c r="F137" s="92" t="s">
        <v>27</v>
      </c>
      <c r="G137" s="92" t="str">
        <f>IF([1]!DataIris[[#This Row],[Largo de sépalo]]&lt;=5.5,"CORTO",IF([1]!DataIris[[#This Row],[Largo de sépalo]]&lt;=6.7,"MEDIANO","LARGO"))</f>
        <v>LARGO</v>
      </c>
      <c r="H137" s="92" t="str">
        <f>IF([1]!DataIris[[#This Row],[Ancho de sépalo]]&lt;=3.2,"ESTRECHO","ANCHO")</f>
        <v>ESTRECHO</v>
      </c>
      <c r="I137" s="92" t="str">
        <f>IF([1]!DataIris[[#This Row],[Largo de pétalo]]&lt;=3,"CORTO",IF([1]!DataIris[[#This Row],[Largo de pétalo]]&lt;=5,"MEDIANO","LARGO"))</f>
        <v>LARGO</v>
      </c>
      <c r="J137" s="92" t="str">
        <f>IF([1]!DataIris[[#This Row],[Ancho de pétalo]]&lt;=1.4,"ESTRECHO","ANCHO")</f>
        <v>ANCHO</v>
      </c>
      <c r="K137" s="92" t="s">
        <v>25</v>
      </c>
    </row>
    <row r="138" spans="2:11">
      <c r="B138" s="92">
        <v>6.9</v>
      </c>
      <c r="C138" s="92">
        <v>3.2</v>
      </c>
      <c r="D138" s="92">
        <v>5.7</v>
      </c>
      <c r="E138" s="92">
        <v>2.2999999999999998</v>
      </c>
      <c r="F138" s="92" t="s">
        <v>27</v>
      </c>
      <c r="G138" s="92" t="str">
        <f>IF([1]!DataIris[[#This Row],[Largo de sépalo]]&lt;=5.5,"CORTO",IF([1]!DataIris[[#This Row],[Largo de sépalo]]&lt;=6.7,"MEDIANO","LARGO"))</f>
        <v>LARGO</v>
      </c>
      <c r="H138" s="92" t="str">
        <f>IF([1]!DataIris[[#This Row],[Ancho de sépalo]]&lt;=3.2,"ESTRECHO","ANCHO")</f>
        <v>ESTRECHO</v>
      </c>
      <c r="I138" s="92" t="str">
        <f>IF([1]!DataIris[[#This Row],[Largo de pétalo]]&lt;=3,"CORTO",IF([1]!DataIris[[#This Row],[Largo de pétalo]]&lt;=5,"MEDIANO","LARGO"))</f>
        <v>LARGO</v>
      </c>
      <c r="J138" s="92" t="str">
        <f>IF([1]!DataIris[[#This Row],[Ancho de pétalo]]&lt;=1.4,"ESTRECHO","ANCHO")</f>
        <v>ANCHO</v>
      </c>
      <c r="K138" s="92" t="s">
        <v>26</v>
      </c>
    </row>
    <row r="139" spans="2:11">
      <c r="B139" s="92">
        <v>7</v>
      </c>
      <c r="C139" s="92">
        <v>3.2</v>
      </c>
      <c r="D139" s="92">
        <v>4.7</v>
      </c>
      <c r="E139" s="92">
        <v>1.4</v>
      </c>
      <c r="F139" s="92" t="s">
        <v>26</v>
      </c>
      <c r="G139" s="92" t="str">
        <f>IF([1]!DataIris[[#This Row],[Largo de sépalo]]&lt;=5.5,"CORTO",IF([1]!DataIris[[#This Row],[Largo de sépalo]]&lt;=6.7,"MEDIANO","LARGO"))</f>
        <v>LARGO</v>
      </c>
      <c r="H139" s="92" t="str">
        <f>IF([1]!DataIris[[#This Row],[Ancho de sépalo]]&lt;=3.2,"ESTRECHO","ANCHO")</f>
        <v>ESTRECHO</v>
      </c>
      <c r="I139" s="92" t="str">
        <f>IF([1]!DataIris[[#This Row],[Largo de pétalo]]&lt;=3,"CORTO",IF([1]!DataIris[[#This Row],[Largo de pétalo]]&lt;=5,"MEDIANO","LARGO"))</f>
        <v>MEDIANO</v>
      </c>
      <c r="J139" s="92" t="str">
        <f>IF([1]!DataIris[[#This Row],[Ancho de pétalo]]&lt;=1.4,"ESTRECHO","ANCHO")</f>
        <v>ESTRECHO</v>
      </c>
      <c r="K139" s="92" t="s">
        <v>26</v>
      </c>
    </row>
    <row r="140" spans="2:11">
      <c r="B140" s="92">
        <v>7.1</v>
      </c>
      <c r="C140" s="92">
        <v>3</v>
      </c>
      <c r="D140" s="92">
        <v>5.9</v>
      </c>
      <c r="E140" s="92">
        <v>2.1</v>
      </c>
      <c r="F140" s="92" t="s">
        <v>27</v>
      </c>
      <c r="G140" s="92" t="str">
        <f>IF([1]!DataIris[[#This Row],[Largo de sépalo]]&lt;=5.5,"CORTO",IF([1]!DataIris[[#This Row],[Largo de sépalo]]&lt;=6.7,"MEDIANO","LARGO"))</f>
        <v>LARGO</v>
      </c>
      <c r="H140" s="92" t="str">
        <f>IF([1]!DataIris[[#This Row],[Ancho de sépalo]]&lt;=3.2,"ESTRECHO","ANCHO")</f>
        <v>ESTRECHO</v>
      </c>
      <c r="I140" s="92" t="str">
        <f>IF([1]!DataIris[[#This Row],[Largo de pétalo]]&lt;=3,"CORTO",IF([1]!DataIris[[#This Row],[Largo de pétalo]]&lt;=5,"MEDIANO","LARGO"))</f>
        <v>LARGO</v>
      </c>
      <c r="J140" s="92" t="str">
        <f>IF([1]!DataIris[[#This Row],[Ancho de pétalo]]&lt;=1.4,"ESTRECHO","ANCHO")</f>
        <v>ANCHO</v>
      </c>
      <c r="K140" s="92" t="s">
        <v>26</v>
      </c>
    </row>
    <row r="141" spans="2:11">
      <c r="B141" s="92">
        <v>7.2</v>
      </c>
      <c r="C141" s="92">
        <v>3</v>
      </c>
      <c r="D141" s="92">
        <v>5.8</v>
      </c>
      <c r="E141" s="92">
        <v>1.6</v>
      </c>
      <c r="F141" s="92" t="s">
        <v>27</v>
      </c>
      <c r="G141" s="92" t="str">
        <f>IF([1]!DataIris[[#This Row],[Largo de sépalo]]&lt;=5.5,"CORTO",IF([1]!DataIris[[#This Row],[Largo de sépalo]]&lt;=6.7,"MEDIANO","LARGO"))</f>
        <v>LARGO</v>
      </c>
      <c r="H141" s="92" t="str">
        <f>IF([1]!DataIris[[#This Row],[Ancho de sépalo]]&lt;=3.2,"ESTRECHO","ANCHO")</f>
        <v>ESTRECHO</v>
      </c>
      <c r="I141" s="92" t="str">
        <f>IF([1]!DataIris[[#This Row],[Largo de pétalo]]&lt;=3,"CORTO",IF([1]!DataIris[[#This Row],[Largo de pétalo]]&lt;=5,"MEDIANO","LARGO"))</f>
        <v>LARGO</v>
      </c>
      <c r="J141" s="92" t="str">
        <f>IF([1]!DataIris[[#This Row],[Ancho de pétalo]]&lt;=1.4,"ESTRECHO","ANCHO")</f>
        <v>ANCHO</v>
      </c>
      <c r="K141" s="92" t="s">
        <v>26</v>
      </c>
    </row>
    <row r="142" spans="2:11">
      <c r="B142" s="92">
        <v>7.2</v>
      </c>
      <c r="C142" s="92">
        <v>3.2</v>
      </c>
      <c r="D142" s="92">
        <v>6</v>
      </c>
      <c r="E142" s="92">
        <v>1.8</v>
      </c>
      <c r="F142" s="92" t="s">
        <v>27</v>
      </c>
      <c r="G142" s="92" t="str">
        <f>IF([1]!DataIris[[#This Row],[Largo de sépalo]]&lt;=5.5,"CORTO",IF([1]!DataIris[[#This Row],[Largo de sépalo]]&lt;=6.7,"MEDIANO","LARGO"))</f>
        <v>LARGO</v>
      </c>
      <c r="H142" s="92" t="str">
        <f>IF([1]!DataIris[[#This Row],[Ancho de sépalo]]&lt;=3.2,"ESTRECHO","ANCHO")</f>
        <v>ESTRECHO</v>
      </c>
      <c r="I142" s="92" t="str">
        <f>IF([1]!DataIris[[#This Row],[Largo de pétalo]]&lt;=3,"CORTO",IF([1]!DataIris[[#This Row],[Largo de pétalo]]&lt;=5,"MEDIANO","LARGO"))</f>
        <v>LARGO</v>
      </c>
      <c r="J142" s="92" t="str">
        <f>IF([1]!DataIris[[#This Row],[Ancho de pétalo]]&lt;=1.4,"ESTRECHO","ANCHO")</f>
        <v>ANCHO</v>
      </c>
      <c r="K142" s="92" t="s">
        <v>26</v>
      </c>
    </row>
    <row r="143" spans="2:11">
      <c r="B143" s="92">
        <v>7.2</v>
      </c>
      <c r="C143" s="92">
        <v>3.6</v>
      </c>
      <c r="D143" s="92">
        <v>6.1</v>
      </c>
      <c r="E143" s="92">
        <v>2.5</v>
      </c>
      <c r="F143" s="92" t="s">
        <v>27</v>
      </c>
      <c r="G143" s="92" t="str">
        <f>IF([1]!DataIris[[#This Row],[Largo de sépalo]]&lt;=5.5,"CORTO",IF([1]!DataIris[[#This Row],[Largo de sépalo]]&lt;=6.7,"MEDIANO","LARGO"))</f>
        <v>LARGO</v>
      </c>
      <c r="H143" s="92" t="str">
        <f>IF([1]!DataIris[[#This Row],[Ancho de sépalo]]&lt;=3.2,"ESTRECHO","ANCHO")</f>
        <v>ANCHO</v>
      </c>
      <c r="I143" s="92" t="str">
        <f>IF([1]!DataIris[[#This Row],[Largo de pétalo]]&lt;=3,"CORTO",IF([1]!DataIris[[#This Row],[Largo de pétalo]]&lt;=5,"MEDIANO","LARGO"))</f>
        <v>LARGO</v>
      </c>
      <c r="J143" s="92" t="str">
        <f>IF([1]!DataIris[[#This Row],[Ancho de pétalo]]&lt;=1.4,"ESTRECHO","ANCHO")</f>
        <v>ANCHO</v>
      </c>
      <c r="K143" s="92" t="s">
        <v>27</v>
      </c>
    </row>
    <row r="144" spans="2:11">
      <c r="B144" s="92">
        <v>7.3</v>
      </c>
      <c r="C144" s="92">
        <v>2.9</v>
      </c>
      <c r="D144" s="92">
        <v>6.3</v>
      </c>
      <c r="E144" s="92">
        <v>1.8</v>
      </c>
      <c r="F144" s="92" t="s">
        <v>27</v>
      </c>
      <c r="G144" s="92" t="str">
        <f>IF([1]!DataIris[[#This Row],[Largo de sépalo]]&lt;=5.5,"CORTO",IF([1]!DataIris[[#This Row],[Largo de sépalo]]&lt;=6.7,"MEDIANO","LARGO"))</f>
        <v>LARGO</v>
      </c>
      <c r="H144" s="92" t="str">
        <f>IF([1]!DataIris[[#This Row],[Ancho de sépalo]]&lt;=3.2,"ESTRECHO","ANCHO")</f>
        <v>ESTRECHO</v>
      </c>
      <c r="I144" s="92" t="str">
        <f>IF([1]!DataIris[[#This Row],[Largo de pétalo]]&lt;=3,"CORTO",IF([1]!DataIris[[#This Row],[Largo de pétalo]]&lt;=5,"MEDIANO","LARGO"))</f>
        <v>LARGO</v>
      </c>
      <c r="J144" s="92" t="str">
        <f>IF([1]!DataIris[[#This Row],[Ancho de pétalo]]&lt;=1.4,"ESTRECHO","ANCHO")</f>
        <v>ANCHO</v>
      </c>
      <c r="K144" s="92" t="s">
        <v>27</v>
      </c>
    </row>
    <row r="145" spans="2:30">
      <c r="B145" s="92">
        <v>7.4</v>
      </c>
      <c r="C145" s="92">
        <v>2.8</v>
      </c>
      <c r="D145" s="92">
        <v>6.1</v>
      </c>
      <c r="E145" s="92">
        <v>1.9</v>
      </c>
      <c r="F145" s="92" t="s">
        <v>27</v>
      </c>
      <c r="G145" s="92" t="str">
        <f>IF([1]!DataIris[[#This Row],[Largo de sépalo]]&lt;=5.5,"CORTO",IF([1]!DataIris[[#This Row],[Largo de sépalo]]&lt;=6.7,"MEDIANO","LARGO"))</f>
        <v>LARGO</v>
      </c>
      <c r="H145" s="92" t="str">
        <f>IF([1]!DataIris[[#This Row],[Ancho de sépalo]]&lt;=3.2,"ESTRECHO","ANCHO")</f>
        <v>ESTRECHO</v>
      </c>
      <c r="I145" s="92" t="str">
        <f>IF([1]!DataIris[[#This Row],[Largo de pétalo]]&lt;=3,"CORTO",IF([1]!DataIris[[#This Row],[Largo de pétalo]]&lt;=5,"MEDIANO","LARGO"))</f>
        <v>LARGO</v>
      </c>
      <c r="J145" s="92" t="str">
        <f>IF([1]!DataIris[[#This Row],[Ancho de pétalo]]&lt;=1.4,"ESTRECHO","ANCHO")</f>
        <v>ANCHO</v>
      </c>
      <c r="K145" s="92" t="s">
        <v>25</v>
      </c>
    </row>
    <row r="146" spans="2:30">
      <c r="B146" s="92">
        <v>7.6</v>
      </c>
      <c r="C146" s="92">
        <v>3</v>
      </c>
      <c r="D146" s="92">
        <v>6.6</v>
      </c>
      <c r="E146" s="92">
        <v>2.1</v>
      </c>
      <c r="F146" s="92" t="s">
        <v>27</v>
      </c>
      <c r="G146" s="92" t="str">
        <f>IF([1]!DataIris[[#This Row],[Largo de sépalo]]&lt;=5.5,"CORTO",IF([1]!DataIris[[#This Row],[Largo de sépalo]]&lt;=6.7,"MEDIANO","LARGO"))</f>
        <v>LARGO</v>
      </c>
      <c r="H146" s="92" t="str">
        <f>IF([1]!DataIris[[#This Row],[Ancho de sépalo]]&lt;=3.2,"ESTRECHO","ANCHO")</f>
        <v>ESTRECHO</v>
      </c>
      <c r="I146" s="92" t="str">
        <f>IF([1]!DataIris[[#This Row],[Largo de pétalo]]&lt;=3,"CORTO",IF([1]!DataIris[[#This Row],[Largo de pétalo]]&lt;=5,"MEDIANO","LARGO"))</f>
        <v>LARGO</v>
      </c>
      <c r="J146" s="92" t="str">
        <f>IF([1]!DataIris[[#This Row],[Ancho de pétalo]]&lt;=1.4,"ESTRECHO","ANCHO")</f>
        <v>ANCHO</v>
      </c>
      <c r="K146" s="92" t="s">
        <v>26</v>
      </c>
    </row>
    <row r="147" spans="2:30">
      <c r="B147" s="92">
        <v>7.7</v>
      </c>
      <c r="C147" s="92">
        <v>2.8</v>
      </c>
      <c r="D147" s="92">
        <v>6.7</v>
      </c>
      <c r="E147" s="92">
        <v>2</v>
      </c>
      <c r="F147" s="92" t="s">
        <v>27</v>
      </c>
      <c r="G147" s="92" t="str">
        <f>IF([1]!DataIris[[#This Row],[Largo de sépalo]]&lt;=5.5,"CORTO",IF([1]!DataIris[[#This Row],[Largo de sépalo]]&lt;=6.7,"MEDIANO","LARGO"))</f>
        <v>LARGO</v>
      </c>
      <c r="H147" s="92" t="str">
        <f>IF([1]!DataIris[[#This Row],[Ancho de sépalo]]&lt;=3.2,"ESTRECHO","ANCHO")</f>
        <v>ESTRECHO</v>
      </c>
      <c r="I147" s="92" t="str">
        <f>IF([1]!DataIris[[#This Row],[Largo de pétalo]]&lt;=3,"CORTO",IF([1]!DataIris[[#This Row],[Largo de pétalo]]&lt;=5,"MEDIANO","LARGO"))</f>
        <v>LARGO</v>
      </c>
      <c r="J147" s="92" t="str">
        <f>IF([1]!DataIris[[#This Row],[Ancho de pétalo]]&lt;=1.4,"ESTRECHO","ANCHO")</f>
        <v>ANCHO</v>
      </c>
      <c r="K147" s="92" t="s">
        <v>26</v>
      </c>
    </row>
    <row r="148" spans="2:30">
      <c r="B148" s="92">
        <v>7.7</v>
      </c>
      <c r="C148" s="92">
        <v>3.8</v>
      </c>
      <c r="D148" s="92">
        <v>6.7</v>
      </c>
      <c r="E148" s="92">
        <v>2.2000000000000002</v>
      </c>
      <c r="F148" s="92" t="s">
        <v>27</v>
      </c>
      <c r="G148" s="92" t="str">
        <f>IF([1]!DataIris[[#This Row],[Largo de sépalo]]&lt;=5.5,"CORTO",IF([1]!DataIris[[#This Row],[Largo de sépalo]]&lt;=6.7,"MEDIANO","LARGO"))</f>
        <v>LARGO</v>
      </c>
      <c r="H148" s="92" t="str">
        <f>IF([1]!DataIris[[#This Row],[Ancho de sépalo]]&lt;=3.2,"ESTRECHO","ANCHO")</f>
        <v>ANCHO</v>
      </c>
      <c r="I148" s="92" t="str">
        <f>IF([1]!DataIris[[#This Row],[Largo de pétalo]]&lt;=3,"CORTO",IF([1]!DataIris[[#This Row],[Largo de pétalo]]&lt;=5,"MEDIANO","LARGO"))</f>
        <v>LARGO</v>
      </c>
      <c r="J148" s="92" t="str">
        <f>IF([1]!DataIris[[#This Row],[Ancho de pétalo]]&lt;=1.4,"ESTRECHO","ANCHO")</f>
        <v>ANCHO</v>
      </c>
      <c r="K148" s="92" t="s">
        <v>27</v>
      </c>
    </row>
    <row r="149" spans="2:30">
      <c r="B149" s="92">
        <v>7.7</v>
      </c>
      <c r="C149" s="92">
        <v>3</v>
      </c>
      <c r="D149" s="92">
        <v>6.1</v>
      </c>
      <c r="E149" s="92">
        <v>2.2999999999999998</v>
      </c>
      <c r="F149" s="92" t="s">
        <v>27</v>
      </c>
      <c r="G149" s="92" t="str">
        <f>IF([1]!DataIris[[#This Row],[Largo de sépalo]]&lt;=5.5,"CORTO",IF([1]!DataIris[[#This Row],[Largo de sépalo]]&lt;=6.7,"MEDIANO","LARGO"))</f>
        <v>LARGO</v>
      </c>
      <c r="H149" s="92" t="str">
        <f>IF([1]!DataIris[[#This Row],[Ancho de sépalo]]&lt;=3.2,"ESTRECHO","ANCHO")</f>
        <v>ESTRECHO</v>
      </c>
      <c r="I149" s="92" t="str">
        <f>IF([1]!DataIris[[#This Row],[Largo de pétalo]]&lt;=3,"CORTO",IF([1]!DataIris[[#This Row],[Largo de pétalo]]&lt;=5,"MEDIANO","LARGO"))</f>
        <v>LARGO</v>
      </c>
      <c r="J149" s="92" t="str">
        <f>IF([1]!DataIris[[#This Row],[Ancho de pétalo]]&lt;=1.4,"ESTRECHO","ANCHO")</f>
        <v>ANCHO</v>
      </c>
      <c r="K149" s="92" t="s">
        <v>27</v>
      </c>
    </row>
    <row r="150" spans="2:30">
      <c r="B150" s="92">
        <v>7.7</v>
      </c>
      <c r="C150" s="92">
        <v>2.6</v>
      </c>
      <c r="D150" s="92">
        <v>6.9</v>
      </c>
      <c r="E150" s="92">
        <v>2.2999999999999998</v>
      </c>
      <c r="F150" s="92" t="s">
        <v>27</v>
      </c>
      <c r="G150" s="92" t="str">
        <f>IF([1]!DataIris[[#This Row],[Largo de sépalo]]&lt;=5.5,"CORTO",IF([1]!DataIris[[#This Row],[Largo de sépalo]]&lt;=6.7,"MEDIANO","LARGO"))</f>
        <v>LARGO</v>
      </c>
      <c r="H150" s="92" t="str">
        <f>IF([1]!DataIris[[#This Row],[Ancho de sépalo]]&lt;=3.2,"ESTRECHO","ANCHO")</f>
        <v>ESTRECHO</v>
      </c>
      <c r="I150" s="92" t="str">
        <f>IF([1]!DataIris[[#This Row],[Largo de pétalo]]&lt;=3,"CORTO",IF([1]!DataIris[[#This Row],[Largo de pétalo]]&lt;=5,"MEDIANO","LARGO"))</f>
        <v>LARGO</v>
      </c>
      <c r="J150" s="92" t="str">
        <f>IF([1]!DataIris[[#This Row],[Ancho de pétalo]]&lt;=1.4,"ESTRECHO","ANCHO")</f>
        <v>ANCHO</v>
      </c>
      <c r="K150" s="92" t="s">
        <v>25</v>
      </c>
    </row>
    <row r="151" spans="2:30">
      <c r="B151" s="92">
        <v>7.9</v>
      </c>
      <c r="C151" s="92">
        <v>3.8</v>
      </c>
      <c r="D151" s="92">
        <v>6.4</v>
      </c>
      <c r="E151" s="92">
        <v>2</v>
      </c>
      <c r="F151" s="92" t="s">
        <v>27</v>
      </c>
      <c r="G151" s="92" t="str">
        <f>IF([1]!DataIris[[#This Row],[Largo de sépalo]]&lt;=5.5,"CORTO",IF([1]!DataIris[[#This Row],[Largo de sépalo]]&lt;=6.7,"MEDIANO","LARGO"))</f>
        <v>LARGO</v>
      </c>
      <c r="H151" s="92" t="str">
        <f>IF([1]!DataIris[[#This Row],[Ancho de sépalo]]&lt;=3.2,"ESTRECHO","ANCHO")</f>
        <v>ANCHO</v>
      </c>
      <c r="I151" s="92" t="str">
        <f>IF([1]!DataIris[[#This Row],[Largo de pétalo]]&lt;=3,"CORTO",IF([1]!DataIris[[#This Row],[Largo de pétalo]]&lt;=5,"MEDIANO","LARGO"))</f>
        <v>LARGO</v>
      </c>
      <c r="J151" s="92" t="str">
        <f>IF([1]!DataIris[[#This Row],[Ancho de pétalo]]&lt;=1.4,"ESTRECHO","ANCHO")</f>
        <v>ANCHO</v>
      </c>
      <c r="K151" s="92" t="s">
        <v>26</v>
      </c>
    </row>
    <row r="154" spans="2:30">
      <c r="D154" s="14" t="s">
        <v>15</v>
      </c>
      <c r="E154" s="12">
        <v>1.5840000000000001</v>
      </c>
      <c r="H154" s="15" t="s">
        <v>19</v>
      </c>
      <c r="I154" s="13">
        <v>1.377</v>
      </c>
    </row>
    <row r="155" spans="2:30" s="6" customFormat="1"/>
    <row r="156" spans="2:30">
      <c r="B156" s="24" t="s">
        <v>16</v>
      </c>
      <c r="C156" s="25">
        <v>0.151</v>
      </c>
      <c r="L156" s="24" t="s">
        <v>17</v>
      </c>
      <c r="M156" s="25">
        <v>0.44500000000000001</v>
      </c>
      <c r="V156" s="17" t="s">
        <v>18</v>
      </c>
      <c r="W156" s="16">
        <v>0</v>
      </c>
    </row>
    <row r="157" spans="2:30">
      <c r="B157" s="44" t="s">
        <v>28</v>
      </c>
      <c r="C157" s="50" t="s">
        <v>29</v>
      </c>
      <c r="D157" s="50" t="s">
        <v>30</v>
      </c>
      <c r="E157" s="50" t="s">
        <v>31</v>
      </c>
      <c r="F157" s="50" t="s">
        <v>24</v>
      </c>
      <c r="G157" s="50" t="s">
        <v>32</v>
      </c>
      <c r="H157" s="50" t="s">
        <v>33</v>
      </c>
      <c r="I157" s="50" t="s">
        <v>34</v>
      </c>
      <c r="J157" s="43" t="s">
        <v>35</v>
      </c>
      <c r="L157" s="73" t="s">
        <v>28</v>
      </c>
      <c r="M157" s="74" t="s">
        <v>29</v>
      </c>
      <c r="N157" s="74" t="s">
        <v>30</v>
      </c>
      <c r="O157" s="74" t="s">
        <v>31</v>
      </c>
      <c r="P157" s="74" t="s">
        <v>24</v>
      </c>
      <c r="Q157" s="74" t="s">
        <v>32</v>
      </c>
      <c r="R157" s="74" t="s">
        <v>33</v>
      </c>
      <c r="S157" s="74" t="s">
        <v>34</v>
      </c>
      <c r="T157" s="75" t="s">
        <v>35</v>
      </c>
      <c r="V157" s="94" t="s">
        <v>28</v>
      </c>
      <c r="W157" s="95" t="s">
        <v>29</v>
      </c>
      <c r="X157" s="95" t="s">
        <v>30</v>
      </c>
      <c r="Y157" s="95" t="s">
        <v>31</v>
      </c>
      <c r="Z157" s="95" t="s">
        <v>24</v>
      </c>
      <c r="AA157" s="95" t="s">
        <v>32</v>
      </c>
      <c r="AB157" s="95" t="s">
        <v>33</v>
      </c>
      <c r="AC157" s="95" t="s">
        <v>34</v>
      </c>
      <c r="AD157" s="96" t="s">
        <v>35</v>
      </c>
    </row>
    <row r="158" spans="2:30">
      <c r="B158" s="29">
        <v>5.9</v>
      </c>
      <c r="C158" s="22">
        <v>3.2</v>
      </c>
      <c r="D158" s="22">
        <v>4.8</v>
      </c>
      <c r="E158" s="22">
        <v>1.8</v>
      </c>
      <c r="F158" s="22" t="s">
        <v>1</v>
      </c>
      <c r="G158" s="18" t="s">
        <v>9</v>
      </c>
      <c r="H158" s="18" t="s">
        <v>9</v>
      </c>
      <c r="I158" s="18" t="s">
        <v>9</v>
      </c>
      <c r="J158" s="53" t="s">
        <v>10</v>
      </c>
      <c r="L158" s="29">
        <v>7</v>
      </c>
      <c r="M158" s="22">
        <v>3.2</v>
      </c>
      <c r="N158" s="22">
        <v>4.7</v>
      </c>
      <c r="O158" s="22">
        <v>1.4</v>
      </c>
      <c r="P158" s="22" t="s">
        <v>1</v>
      </c>
      <c r="Q158" s="18" t="s">
        <v>10</v>
      </c>
      <c r="R158" s="18" t="s">
        <v>9</v>
      </c>
      <c r="S158" s="18" t="s">
        <v>9</v>
      </c>
      <c r="T158" s="53" t="s">
        <v>9</v>
      </c>
      <c r="V158" s="93">
        <v>5.0999999999999996</v>
      </c>
      <c r="W158" s="22">
        <v>3.5</v>
      </c>
      <c r="X158" s="22">
        <v>1.4</v>
      </c>
      <c r="Y158" s="22">
        <v>0.2</v>
      </c>
      <c r="Z158" s="22" t="s">
        <v>0</v>
      </c>
      <c r="AA158" s="18" t="s">
        <v>8</v>
      </c>
      <c r="AB158" s="18" t="s">
        <v>9</v>
      </c>
      <c r="AC158" s="18" t="s">
        <v>8</v>
      </c>
      <c r="AD158" s="53" t="s">
        <v>8</v>
      </c>
    </row>
    <row r="159" spans="2:30">
      <c r="B159" s="29">
        <v>6.3</v>
      </c>
      <c r="C159" s="22">
        <v>3.3</v>
      </c>
      <c r="D159" s="22">
        <v>6</v>
      </c>
      <c r="E159" s="22">
        <v>2.5</v>
      </c>
      <c r="F159" s="22" t="s">
        <v>2</v>
      </c>
      <c r="G159" s="18" t="s">
        <v>9</v>
      </c>
      <c r="H159" s="18" t="s">
        <v>9</v>
      </c>
      <c r="I159" s="18" t="s">
        <v>10</v>
      </c>
      <c r="J159" s="53" t="s">
        <v>10</v>
      </c>
      <c r="L159" s="31">
        <v>6.4</v>
      </c>
      <c r="M159" s="18">
        <v>3.2</v>
      </c>
      <c r="N159" s="18">
        <v>4.5</v>
      </c>
      <c r="O159" s="18">
        <v>1.5</v>
      </c>
      <c r="P159" s="18" t="s">
        <v>1</v>
      </c>
      <c r="Q159" s="18" t="s">
        <v>9</v>
      </c>
      <c r="R159" s="18" t="s">
        <v>9</v>
      </c>
      <c r="S159" s="18" t="s">
        <v>9</v>
      </c>
      <c r="T159" s="53" t="s">
        <v>9</v>
      </c>
      <c r="V159" s="31">
        <v>4.9000000000000004</v>
      </c>
      <c r="W159" s="18">
        <v>3</v>
      </c>
      <c r="X159" s="18">
        <v>1.4</v>
      </c>
      <c r="Y159" s="18">
        <v>0.2</v>
      </c>
      <c r="Z159" s="18" t="s">
        <v>0</v>
      </c>
      <c r="AA159" s="18" t="s">
        <v>8</v>
      </c>
      <c r="AB159" s="18" t="s">
        <v>9</v>
      </c>
      <c r="AC159" s="18" t="s">
        <v>8</v>
      </c>
      <c r="AD159" s="53" t="s">
        <v>8</v>
      </c>
    </row>
    <row r="160" spans="2:30">
      <c r="B160" s="31">
        <v>5.8</v>
      </c>
      <c r="C160" s="18">
        <v>2.7</v>
      </c>
      <c r="D160" s="18">
        <v>5.0999999999999996</v>
      </c>
      <c r="E160" s="18">
        <v>1.9</v>
      </c>
      <c r="F160" s="18" t="s">
        <v>2</v>
      </c>
      <c r="G160" s="18" t="s">
        <v>9</v>
      </c>
      <c r="H160" s="18" t="s">
        <v>8</v>
      </c>
      <c r="I160" s="18" t="s">
        <v>10</v>
      </c>
      <c r="J160" s="53" t="s">
        <v>10</v>
      </c>
      <c r="L160" s="29">
        <v>6.9</v>
      </c>
      <c r="M160" s="22">
        <v>3.1</v>
      </c>
      <c r="N160" s="22">
        <v>4.9000000000000004</v>
      </c>
      <c r="O160" s="22">
        <v>1.5</v>
      </c>
      <c r="P160" s="22" t="s">
        <v>1</v>
      </c>
      <c r="Q160" s="18" t="s">
        <v>10</v>
      </c>
      <c r="R160" s="18" t="s">
        <v>9</v>
      </c>
      <c r="S160" s="18" t="s">
        <v>10</v>
      </c>
      <c r="T160" s="53" t="s">
        <v>9</v>
      </c>
      <c r="V160" s="29">
        <v>4.7</v>
      </c>
      <c r="W160" s="22">
        <v>3.2</v>
      </c>
      <c r="X160" s="22">
        <v>1.3</v>
      </c>
      <c r="Y160" s="22">
        <v>0.2</v>
      </c>
      <c r="Z160" s="22" t="s">
        <v>0</v>
      </c>
      <c r="AA160" s="18" t="s">
        <v>8</v>
      </c>
      <c r="AB160" s="18" t="s">
        <v>9</v>
      </c>
      <c r="AC160" s="18" t="s">
        <v>8</v>
      </c>
      <c r="AD160" s="53" t="s">
        <v>8</v>
      </c>
    </row>
    <row r="161" spans="2:30">
      <c r="B161" s="29">
        <v>7.1</v>
      </c>
      <c r="C161" s="22">
        <v>3</v>
      </c>
      <c r="D161" s="22">
        <v>5.9</v>
      </c>
      <c r="E161" s="22">
        <v>2.1</v>
      </c>
      <c r="F161" s="22" t="s">
        <v>2</v>
      </c>
      <c r="G161" s="18" t="s">
        <v>10</v>
      </c>
      <c r="H161" s="18" t="s">
        <v>9</v>
      </c>
      <c r="I161" s="18" t="s">
        <v>10</v>
      </c>
      <c r="J161" s="53" t="s">
        <v>10</v>
      </c>
      <c r="L161" s="31">
        <v>5.5</v>
      </c>
      <c r="M161" s="18">
        <v>2.2999999999999998</v>
      </c>
      <c r="N161" s="18">
        <v>4</v>
      </c>
      <c r="O161" s="18">
        <v>1.3</v>
      </c>
      <c r="P161" s="18" t="s">
        <v>1</v>
      </c>
      <c r="Q161" s="18" t="s">
        <v>8</v>
      </c>
      <c r="R161" s="18" t="s">
        <v>8</v>
      </c>
      <c r="S161" s="18" t="s">
        <v>9</v>
      </c>
      <c r="T161" s="53" t="s">
        <v>9</v>
      </c>
      <c r="V161" s="31">
        <v>4.5999999999999996</v>
      </c>
      <c r="W161" s="18">
        <v>3.1</v>
      </c>
      <c r="X161" s="18">
        <v>1.5</v>
      </c>
      <c r="Y161" s="18">
        <v>0.2</v>
      </c>
      <c r="Z161" s="18" t="s">
        <v>0</v>
      </c>
      <c r="AA161" s="18" t="s">
        <v>8</v>
      </c>
      <c r="AB161" s="18" t="s">
        <v>9</v>
      </c>
      <c r="AC161" s="18" t="s">
        <v>8</v>
      </c>
      <c r="AD161" s="53" t="s">
        <v>8</v>
      </c>
    </row>
    <row r="162" spans="2:30">
      <c r="B162" s="31">
        <v>6.3</v>
      </c>
      <c r="C162" s="18">
        <v>2.9</v>
      </c>
      <c r="D162" s="18">
        <v>5.6</v>
      </c>
      <c r="E162" s="18">
        <v>1.8</v>
      </c>
      <c r="F162" s="18" t="s">
        <v>2</v>
      </c>
      <c r="G162" s="18" t="s">
        <v>9</v>
      </c>
      <c r="H162" s="18" t="s">
        <v>8</v>
      </c>
      <c r="I162" s="18" t="s">
        <v>10</v>
      </c>
      <c r="J162" s="53" t="s">
        <v>10</v>
      </c>
      <c r="L162" s="29">
        <v>6.5</v>
      </c>
      <c r="M162" s="22">
        <v>2.8</v>
      </c>
      <c r="N162" s="22">
        <v>4.5999999999999996</v>
      </c>
      <c r="O162" s="22">
        <v>1.5</v>
      </c>
      <c r="P162" s="22" t="s">
        <v>1</v>
      </c>
      <c r="Q162" s="18" t="s">
        <v>9</v>
      </c>
      <c r="R162" s="18" t="s">
        <v>8</v>
      </c>
      <c r="S162" s="18" t="s">
        <v>9</v>
      </c>
      <c r="T162" s="53" t="s">
        <v>9</v>
      </c>
      <c r="V162" s="29">
        <v>5</v>
      </c>
      <c r="W162" s="22">
        <v>3.6</v>
      </c>
      <c r="X162" s="22">
        <v>1.4</v>
      </c>
      <c r="Y162" s="22">
        <v>0.2</v>
      </c>
      <c r="Z162" s="22" t="s">
        <v>0</v>
      </c>
      <c r="AA162" s="18" t="s">
        <v>8</v>
      </c>
      <c r="AB162" s="18" t="s">
        <v>10</v>
      </c>
      <c r="AC162" s="18" t="s">
        <v>8</v>
      </c>
      <c r="AD162" s="53" t="s">
        <v>8</v>
      </c>
    </row>
    <row r="163" spans="2:30">
      <c r="B163" s="29">
        <v>6.5</v>
      </c>
      <c r="C163" s="22">
        <v>3</v>
      </c>
      <c r="D163" s="22">
        <v>5.8</v>
      </c>
      <c r="E163" s="22">
        <v>2.2000000000000002</v>
      </c>
      <c r="F163" s="22" t="s">
        <v>2</v>
      </c>
      <c r="G163" s="18" t="s">
        <v>9</v>
      </c>
      <c r="H163" s="18" t="s">
        <v>9</v>
      </c>
      <c r="I163" s="18" t="s">
        <v>10</v>
      </c>
      <c r="J163" s="53" t="s">
        <v>10</v>
      </c>
      <c r="L163" s="31">
        <v>5.7</v>
      </c>
      <c r="M163" s="18">
        <v>2.8</v>
      </c>
      <c r="N163" s="18">
        <v>4.5</v>
      </c>
      <c r="O163" s="18">
        <v>1.3</v>
      </c>
      <c r="P163" s="18" t="s">
        <v>1</v>
      </c>
      <c r="Q163" s="18" t="s">
        <v>9</v>
      </c>
      <c r="R163" s="18" t="s">
        <v>8</v>
      </c>
      <c r="S163" s="18" t="s">
        <v>9</v>
      </c>
      <c r="T163" s="53" t="s">
        <v>9</v>
      </c>
      <c r="V163" s="31">
        <v>5.4</v>
      </c>
      <c r="W163" s="18">
        <v>3.9</v>
      </c>
      <c r="X163" s="18">
        <v>1.7</v>
      </c>
      <c r="Y163" s="18">
        <v>0.4</v>
      </c>
      <c r="Z163" s="18" t="s">
        <v>0</v>
      </c>
      <c r="AA163" s="18" t="s">
        <v>8</v>
      </c>
      <c r="AB163" s="18" t="s">
        <v>10</v>
      </c>
      <c r="AC163" s="18" t="s">
        <v>8</v>
      </c>
      <c r="AD163" s="53" t="s">
        <v>8</v>
      </c>
    </row>
    <row r="164" spans="2:30">
      <c r="B164" s="31">
        <v>7.6</v>
      </c>
      <c r="C164" s="18">
        <v>3</v>
      </c>
      <c r="D164" s="18">
        <v>6.6</v>
      </c>
      <c r="E164" s="18">
        <v>2.1</v>
      </c>
      <c r="F164" s="18" t="s">
        <v>2</v>
      </c>
      <c r="G164" s="18" t="s">
        <v>10</v>
      </c>
      <c r="H164" s="18" t="s">
        <v>9</v>
      </c>
      <c r="I164" s="18" t="s">
        <v>10</v>
      </c>
      <c r="J164" s="53" t="s">
        <v>10</v>
      </c>
      <c r="L164" s="29">
        <v>6.3</v>
      </c>
      <c r="M164" s="22">
        <v>3.3</v>
      </c>
      <c r="N164" s="22">
        <v>4.7</v>
      </c>
      <c r="O164" s="22">
        <v>1.6</v>
      </c>
      <c r="P164" s="22" t="s">
        <v>1</v>
      </c>
      <c r="Q164" s="18" t="s">
        <v>9</v>
      </c>
      <c r="R164" s="18" t="s">
        <v>9</v>
      </c>
      <c r="S164" s="18" t="s">
        <v>9</v>
      </c>
      <c r="T164" s="53" t="s">
        <v>9</v>
      </c>
      <c r="V164" s="29">
        <v>4.5999999999999996</v>
      </c>
      <c r="W164" s="22">
        <v>3.4</v>
      </c>
      <c r="X164" s="22">
        <v>1.4</v>
      </c>
      <c r="Y164" s="22">
        <v>0.3</v>
      </c>
      <c r="Z164" s="22" t="s">
        <v>0</v>
      </c>
      <c r="AA164" s="18" t="s">
        <v>8</v>
      </c>
      <c r="AB164" s="18" t="s">
        <v>9</v>
      </c>
      <c r="AC164" s="18" t="s">
        <v>8</v>
      </c>
      <c r="AD164" s="53" t="s">
        <v>8</v>
      </c>
    </row>
    <row r="165" spans="2:30">
      <c r="B165" s="31">
        <v>7.3</v>
      </c>
      <c r="C165" s="18">
        <v>2.9</v>
      </c>
      <c r="D165" s="18">
        <v>6.3</v>
      </c>
      <c r="E165" s="18">
        <v>1.8</v>
      </c>
      <c r="F165" s="18" t="s">
        <v>2</v>
      </c>
      <c r="G165" s="18" t="s">
        <v>10</v>
      </c>
      <c r="H165" s="18" t="s">
        <v>8</v>
      </c>
      <c r="I165" s="18" t="s">
        <v>10</v>
      </c>
      <c r="J165" s="53" t="s">
        <v>10</v>
      </c>
      <c r="L165" s="31">
        <v>4.9000000000000004</v>
      </c>
      <c r="M165" s="18">
        <v>2.4</v>
      </c>
      <c r="N165" s="18">
        <v>3.3</v>
      </c>
      <c r="O165" s="18">
        <v>1</v>
      </c>
      <c r="P165" s="18" t="s">
        <v>1</v>
      </c>
      <c r="Q165" s="18" t="s">
        <v>8</v>
      </c>
      <c r="R165" s="18" t="s">
        <v>8</v>
      </c>
      <c r="S165" s="18" t="s">
        <v>9</v>
      </c>
      <c r="T165" s="53" t="s">
        <v>9</v>
      </c>
      <c r="V165" s="31">
        <v>5</v>
      </c>
      <c r="W165" s="18">
        <v>3.4</v>
      </c>
      <c r="X165" s="18">
        <v>1.5</v>
      </c>
      <c r="Y165" s="18">
        <v>0.2</v>
      </c>
      <c r="Z165" s="18" t="s">
        <v>0</v>
      </c>
      <c r="AA165" s="18" t="s">
        <v>8</v>
      </c>
      <c r="AB165" s="18" t="s">
        <v>9</v>
      </c>
      <c r="AC165" s="18" t="s">
        <v>8</v>
      </c>
      <c r="AD165" s="53" t="s">
        <v>8</v>
      </c>
    </row>
    <row r="166" spans="2:30">
      <c r="B166" s="29">
        <v>6.7</v>
      </c>
      <c r="C166" s="22">
        <v>2.5</v>
      </c>
      <c r="D166" s="22">
        <v>5.8</v>
      </c>
      <c r="E166" s="22">
        <v>1.8</v>
      </c>
      <c r="F166" s="22" t="s">
        <v>2</v>
      </c>
      <c r="G166" s="18" t="s">
        <v>10</v>
      </c>
      <c r="H166" s="18" t="s">
        <v>8</v>
      </c>
      <c r="I166" s="18" t="s">
        <v>10</v>
      </c>
      <c r="J166" s="53" t="s">
        <v>10</v>
      </c>
      <c r="L166" s="29">
        <v>6.6</v>
      </c>
      <c r="M166" s="22">
        <v>2.9</v>
      </c>
      <c r="N166" s="22">
        <v>4.5999999999999996</v>
      </c>
      <c r="O166" s="22">
        <v>1.3</v>
      </c>
      <c r="P166" s="22" t="s">
        <v>1</v>
      </c>
      <c r="Q166" s="18" t="s">
        <v>10</v>
      </c>
      <c r="R166" s="18" t="s">
        <v>8</v>
      </c>
      <c r="S166" s="18" t="s">
        <v>9</v>
      </c>
      <c r="T166" s="53" t="s">
        <v>9</v>
      </c>
      <c r="V166" s="29">
        <v>4.4000000000000004</v>
      </c>
      <c r="W166" s="22">
        <v>2.9</v>
      </c>
      <c r="X166" s="22">
        <v>1.4</v>
      </c>
      <c r="Y166" s="22">
        <v>0.2</v>
      </c>
      <c r="Z166" s="22" t="s">
        <v>0</v>
      </c>
      <c r="AA166" s="18" t="s">
        <v>8</v>
      </c>
      <c r="AB166" s="18" t="s">
        <v>8</v>
      </c>
      <c r="AC166" s="18" t="s">
        <v>8</v>
      </c>
      <c r="AD166" s="53" t="s">
        <v>8</v>
      </c>
    </row>
    <row r="167" spans="2:30">
      <c r="B167" s="31">
        <v>7.2</v>
      </c>
      <c r="C167" s="18">
        <v>3.6</v>
      </c>
      <c r="D167" s="18">
        <v>6.1</v>
      </c>
      <c r="E167" s="18">
        <v>2.5</v>
      </c>
      <c r="F167" s="18" t="s">
        <v>2</v>
      </c>
      <c r="G167" s="18" t="s">
        <v>10</v>
      </c>
      <c r="H167" s="18" t="s">
        <v>10</v>
      </c>
      <c r="I167" s="18" t="s">
        <v>10</v>
      </c>
      <c r="J167" s="53" t="s">
        <v>10</v>
      </c>
      <c r="L167" s="31">
        <v>5.2</v>
      </c>
      <c r="M167" s="18">
        <v>2.7</v>
      </c>
      <c r="N167" s="18">
        <v>3.9</v>
      </c>
      <c r="O167" s="18">
        <v>1.4</v>
      </c>
      <c r="P167" s="18" t="s">
        <v>1</v>
      </c>
      <c r="Q167" s="18" t="s">
        <v>8</v>
      </c>
      <c r="R167" s="18" t="s">
        <v>8</v>
      </c>
      <c r="S167" s="18" t="s">
        <v>9</v>
      </c>
      <c r="T167" s="53" t="s">
        <v>9</v>
      </c>
      <c r="V167" s="31">
        <v>4.9000000000000004</v>
      </c>
      <c r="W167" s="18">
        <v>3.1</v>
      </c>
      <c r="X167" s="18">
        <v>1.5</v>
      </c>
      <c r="Y167" s="18">
        <v>0.1</v>
      </c>
      <c r="Z167" s="18" t="s">
        <v>0</v>
      </c>
      <c r="AA167" s="18" t="s">
        <v>8</v>
      </c>
      <c r="AB167" s="18" t="s">
        <v>9</v>
      </c>
      <c r="AC167" s="18" t="s">
        <v>8</v>
      </c>
      <c r="AD167" s="53" t="s">
        <v>8</v>
      </c>
    </row>
    <row r="168" spans="2:30">
      <c r="B168" s="29">
        <v>6.5</v>
      </c>
      <c r="C168" s="22">
        <v>3.2</v>
      </c>
      <c r="D168" s="22">
        <v>5.0999999999999996</v>
      </c>
      <c r="E168" s="22">
        <v>2</v>
      </c>
      <c r="F168" s="22" t="s">
        <v>2</v>
      </c>
      <c r="G168" s="18" t="s">
        <v>9</v>
      </c>
      <c r="H168" s="18" t="s">
        <v>9</v>
      </c>
      <c r="I168" s="18" t="s">
        <v>10</v>
      </c>
      <c r="J168" s="53" t="s">
        <v>10</v>
      </c>
      <c r="L168" s="29">
        <v>5</v>
      </c>
      <c r="M168" s="22">
        <v>2</v>
      </c>
      <c r="N168" s="22">
        <v>3.5</v>
      </c>
      <c r="O168" s="22">
        <v>1</v>
      </c>
      <c r="P168" s="22" t="s">
        <v>1</v>
      </c>
      <c r="Q168" s="18" t="s">
        <v>8</v>
      </c>
      <c r="R168" s="18" t="s">
        <v>8</v>
      </c>
      <c r="S168" s="18" t="s">
        <v>9</v>
      </c>
      <c r="T168" s="53" t="s">
        <v>9</v>
      </c>
      <c r="V168" s="29">
        <v>5.4</v>
      </c>
      <c r="W168" s="22">
        <v>3.7</v>
      </c>
      <c r="X168" s="22">
        <v>1.5</v>
      </c>
      <c r="Y168" s="22">
        <v>0.2</v>
      </c>
      <c r="Z168" s="22" t="s">
        <v>0</v>
      </c>
      <c r="AA168" s="18" t="s">
        <v>8</v>
      </c>
      <c r="AB168" s="18" t="s">
        <v>10</v>
      </c>
      <c r="AC168" s="18" t="s">
        <v>8</v>
      </c>
      <c r="AD168" s="53" t="s">
        <v>8</v>
      </c>
    </row>
    <row r="169" spans="2:30">
      <c r="B169" s="31">
        <v>6.4</v>
      </c>
      <c r="C169" s="18">
        <v>2.7</v>
      </c>
      <c r="D169" s="18">
        <v>5.3</v>
      </c>
      <c r="E169" s="18">
        <v>1.9</v>
      </c>
      <c r="F169" s="18" t="s">
        <v>2</v>
      </c>
      <c r="G169" s="18" t="s">
        <v>9</v>
      </c>
      <c r="H169" s="18" t="s">
        <v>8</v>
      </c>
      <c r="I169" s="18" t="s">
        <v>10</v>
      </c>
      <c r="J169" s="53" t="s">
        <v>10</v>
      </c>
      <c r="L169" s="31">
        <v>5.9</v>
      </c>
      <c r="M169" s="18">
        <v>3</v>
      </c>
      <c r="N169" s="18">
        <v>4.2</v>
      </c>
      <c r="O169" s="18">
        <v>1.5</v>
      </c>
      <c r="P169" s="18" t="s">
        <v>1</v>
      </c>
      <c r="Q169" s="18" t="s">
        <v>9</v>
      </c>
      <c r="R169" s="18" t="s">
        <v>9</v>
      </c>
      <c r="S169" s="18" t="s">
        <v>9</v>
      </c>
      <c r="T169" s="53" t="s">
        <v>9</v>
      </c>
      <c r="V169" s="31">
        <v>4.8</v>
      </c>
      <c r="W169" s="18">
        <v>3.4</v>
      </c>
      <c r="X169" s="18">
        <v>1.6</v>
      </c>
      <c r="Y169" s="18">
        <v>0.2</v>
      </c>
      <c r="Z169" s="18" t="s">
        <v>0</v>
      </c>
      <c r="AA169" s="18" t="s">
        <v>8</v>
      </c>
      <c r="AB169" s="18" t="s">
        <v>9</v>
      </c>
      <c r="AC169" s="18" t="s">
        <v>8</v>
      </c>
      <c r="AD169" s="53" t="s">
        <v>8</v>
      </c>
    </row>
    <row r="170" spans="2:30">
      <c r="B170" s="29">
        <v>6.8</v>
      </c>
      <c r="C170" s="22">
        <v>3</v>
      </c>
      <c r="D170" s="22">
        <v>5.5</v>
      </c>
      <c r="E170" s="22">
        <v>2.1</v>
      </c>
      <c r="F170" s="22" t="s">
        <v>2</v>
      </c>
      <c r="G170" s="18" t="s">
        <v>10</v>
      </c>
      <c r="H170" s="18" t="s">
        <v>9</v>
      </c>
      <c r="I170" s="18" t="s">
        <v>10</v>
      </c>
      <c r="J170" s="53" t="s">
        <v>10</v>
      </c>
      <c r="L170" s="29">
        <v>6</v>
      </c>
      <c r="M170" s="22">
        <v>2.2000000000000002</v>
      </c>
      <c r="N170" s="22">
        <v>4</v>
      </c>
      <c r="O170" s="22">
        <v>1</v>
      </c>
      <c r="P170" s="22" t="s">
        <v>1</v>
      </c>
      <c r="Q170" s="18" t="s">
        <v>9</v>
      </c>
      <c r="R170" s="18" t="s">
        <v>8</v>
      </c>
      <c r="S170" s="18" t="s">
        <v>9</v>
      </c>
      <c r="T170" s="53" t="s">
        <v>9</v>
      </c>
      <c r="V170" s="29">
        <v>4.8</v>
      </c>
      <c r="W170" s="22">
        <v>3</v>
      </c>
      <c r="X170" s="22">
        <v>1.4</v>
      </c>
      <c r="Y170" s="22">
        <v>0.1</v>
      </c>
      <c r="Z170" s="22" t="s">
        <v>0</v>
      </c>
      <c r="AA170" s="18" t="s">
        <v>8</v>
      </c>
      <c r="AB170" s="18" t="s">
        <v>9</v>
      </c>
      <c r="AC170" s="18" t="s">
        <v>8</v>
      </c>
      <c r="AD170" s="53" t="s">
        <v>8</v>
      </c>
    </row>
    <row r="171" spans="2:30">
      <c r="B171" s="31">
        <v>5.7</v>
      </c>
      <c r="C171" s="18">
        <v>2.5</v>
      </c>
      <c r="D171" s="18">
        <v>5</v>
      </c>
      <c r="E171" s="18">
        <v>2</v>
      </c>
      <c r="F171" s="18" t="s">
        <v>2</v>
      </c>
      <c r="G171" s="18" t="s">
        <v>9</v>
      </c>
      <c r="H171" s="18" t="s">
        <v>8</v>
      </c>
      <c r="I171" s="18" t="s">
        <v>10</v>
      </c>
      <c r="J171" s="53" t="s">
        <v>10</v>
      </c>
      <c r="L171" s="31">
        <v>6.1</v>
      </c>
      <c r="M171" s="18">
        <v>2.9</v>
      </c>
      <c r="N171" s="18">
        <v>4.7</v>
      </c>
      <c r="O171" s="18">
        <v>1.4</v>
      </c>
      <c r="P171" s="18" t="s">
        <v>1</v>
      </c>
      <c r="Q171" s="18" t="s">
        <v>9</v>
      </c>
      <c r="R171" s="18" t="s">
        <v>8</v>
      </c>
      <c r="S171" s="18" t="s">
        <v>9</v>
      </c>
      <c r="T171" s="53" t="s">
        <v>9</v>
      </c>
      <c r="V171" s="31">
        <v>4.3</v>
      </c>
      <c r="W171" s="18">
        <v>3</v>
      </c>
      <c r="X171" s="18">
        <v>1.1000000000000001</v>
      </c>
      <c r="Y171" s="18">
        <v>0.1</v>
      </c>
      <c r="Z171" s="18" t="s">
        <v>0</v>
      </c>
      <c r="AA171" s="18" t="s">
        <v>8</v>
      </c>
      <c r="AB171" s="18" t="s">
        <v>9</v>
      </c>
      <c r="AC171" s="18" t="s">
        <v>8</v>
      </c>
      <c r="AD171" s="53" t="s">
        <v>8</v>
      </c>
    </row>
    <row r="172" spans="2:30">
      <c r="B172" s="29">
        <v>5.8</v>
      </c>
      <c r="C172" s="22">
        <v>2.8</v>
      </c>
      <c r="D172" s="22">
        <v>5.0999999999999996</v>
      </c>
      <c r="E172" s="22">
        <v>2.4</v>
      </c>
      <c r="F172" s="22" t="s">
        <v>2</v>
      </c>
      <c r="G172" s="18" t="s">
        <v>9</v>
      </c>
      <c r="H172" s="18" t="s">
        <v>8</v>
      </c>
      <c r="I172" s="18" t="s">
        <v>10</v>
      </c>
      <c r="J172" s="53" t="s">
        <v>10</v>
      </c>
      <c r="L172" s="29">
        <v>5.6</v>
      </c>
      <c r="M172" s="22">
        <v>2.9</v>
      </c>
      <c r="N172" s="22">
        <v>3.6</v>
      </c>
      <c r="O172" s="22">
        <v>1.3</v>
      </c>
      <c r="P172" s="22" t="s">
        <v>1</v>
      </c>
      <c r="Q172" s="18" t="s">
        <v>9</v>
      </c>
      <c r="R172" s="18" t="s">
        <v>8</v>
      </c>
      <c r="S172" s="18" t="s">
        <v>9</v>
      </c>
      <c r="T172" s="53" t="s">
        <v>9</v>
      </c>
      <c r="V172" s="29">
        <v>5.8</v>
      </c>
      <c r="W172" s="22">
        <v>4</v>
      </c>
      <c r="X172" s="22">
        <v>1.2</v>
      </c>
      <c r="Y172" s="22">
        <v>0.2</v>
      </c>
      <c r="Z172" s="22" t="s">
        <v>0</v>
      </c>
      <c r="AA172" s="18" t="s">
        <v>9</v>
      </c>
      <c r="AB172" s="18" t="s">
        <v>10</v>
      </c>
      <c r="AC172" s="18" t="s">
        <v>8</v>
      </c>
      <c r="AD172" s="53" t="s">
        <v>8</v>
      </c>
    </row>
    <row r="173" spans="2:30">
      <c r="B173" s="31">
        <v>6.4</v>
      </c>
      <c r="C173" s="18">
        <v>3.2</v>
      </c>
      <c r="D173" s="18">
        <v>5.3</v>
      </c>
      <c r="E173" s="18">
        <v>2.2999999999999998</v>
      </c>
      <c r="F173" s="18" t="s">
        <v>2</v>
      </c>
      <c r="G173" s="18" t="s">
        <v>9</v>
      </c>
      <c r="H173" s="18" t="s">
        <v>9</v>
      </c>
      <c r="I173" s="18" t="s">
        <v>10</v>
      </c>
      <c r="J173" s="53" t="s">
        <v>10</v>
      </c>
      <c r="L173" s="31">
        <v>6.7</v>
      </c>
      <c r="M173" s="18">
        <v>3.1</v>
      </c>
      <c r="N173" s="18">
        <v>4.4000000000000004</v>
      </c>
      <c r="O173" s="18">
        <v>1.4</v>
      </c>
      <c r="P173" s="18" t="s">
        <v>1</v>
      </c>
      <c r="Q173" s="18" t="s">
        <v>10</v>
      </c>
      <c r="R173" s="18" t="s">
        <v>9</v>
      </c>
      <c r="S173" s="18" t="s">
        <v>9</v>
      </c>
      <c r="T173" s="53" t="s">
        <v>9</v>
      </c>
      <c r="V173" s="31">
        <v>5.7</v>
      </c>
      <c r="W173" s="18">
        <v>4.4000000000000004</v>
      </c>
      <c r="X173" s="18">
        <v>1.5</v>
      </c>
      <c r="Y173" s="18">
        <v>0.4</v>
      </c>
      <c r="Z173" s="18" t="s">
        <v>0</v>
      </c>
      <c r="AA173" s="18" t="s">
        <v>9</v>
      </c>
      <c r="AB173" s="18" t="s">
        <v>10</v>
      </c>
      <c r="AC173" s="18" t="s">
        <v>8</v>
      </c>
      <c r="AD173" s="53" t="s">
        <v>8</v>
      </c>
    </row>
    <row r="174" spans="2:30">
      <c r="B174" s="29">
        <v>6.5</v>
      </c>
      <c r="C174" s="22">
        <v>3</v>
      </c>
      <c r="D174" s="22">
        <v>5.5</v>
      </c>
      <c r="E174" s="22">
        <v>1.8</v>
      </c>
      <c r="F174" s="22" t="s">
        <v>2</v>
      </c>
      <c r="G174" s="18" t="s">
        <v>9</v>
      </c>
      <c r="H174" s="18" t="s">
        <v>9</v>
      </c>
      <c r="I174" s="18" t="s">
        <v>10</v>
      </c>
      <c r="J174" s="53" t="s">
        <v>10</v>
      </c>
      <c r="L174" s="29">
        <v>5.6</v>
      </c>
      <c r="M174" s="22">
        <v>3</v>
      </c>
      <c r="N174" s="22">
        <v>4.5</v>
      </c>
      <c r="O174" s="22">
        <v>1.5</v>
      </c>
      <c r="P174" s="22" t="s">
        <v>1</v>
      </c>
      <c r="Q174" s="18" t="s">
        <v>9</v>
      </c>
      <c r="R174" s="18" t="s">
        <v>9</v>
      </c>
      <c r="S174" s="18" t="s">
        <v>9</v>
      </c>
      <c r="T174" s="53" t="s">
        <v>9</v>
      </c>
      <c r="V174" s="29">
        <v>5.4</v>
      </c>
      <c r="W174" s="22">
        <v>3.9</v>
      </c>
      <c r="X174" s="22">
        <v>1.3</v>
      </c>
      <c r="Y174" s="22">
        <v>0.4</v>
      </c>
      <c r="Z174" s="22" t="s">
        <v>0</v>
      </c>
      <c r="AA174" s="18" t="s">
        <v>8</v>
      </c>
      <c r="AB174" s="18" t="s">
        <v>10</v>
      </c>
      <c r="AC174" s="18" t="s">
        <v>8</v>
      </c>
      <c r="AD174" s="53" t="s">
        <v>8</v>
      </c>
    </row>
    <row r="175" spans="2:30">
      <c r="B175" s="31">
        <v>7.7</v>
      </c>
      <c r="C175" s="18">
        <v>3.8</v>
      </c>
      <c r="D175" s="18">
        <v>6.7</v>
      </c>
      <c r="E175" s="18">
        <v>2.2000000000000002</v>
      </c>
      <c r="F175" s="18" t="s">
        <v>2</v>
      </c>
      <c r="G175" s="18" t="s">
        <v>10</v>
      </c>
      <c r="H175" s="18" t="s">
        <v>10</v>
      </c>
      <c r="I175" s="18" t="s">
        <v>10</v>
      </c>
      <c r="J175" s="53" t="s">
        <v>10</v>
      </c>
      <c r="L175" s="31">
        <v>5.8</v>
      </c>
      <c r="M175" s="18">
        <v>2.7</v>
      </c>
      <c r="N175" s="18">
        <v>4.0999999999999996</v>
      </c>
      <c r="O175" s="18">
        <v>1</v>
      </c>
      <c r="P175" s="18" t="s">
        <v>1</v>
      </c>
      <c r="Q175" s="18" t="s">
        <v>9</v>
      </c>
      <c r="R175" s="18" t="s">
        <v>8</v>
      </c>
      <c r="S175" s="18" t="s">
        <v>9</v>
      </c>
      <c r="T175" s="53" t="s">
        <v>9</v>
      </c>
      <c r="V175" s="31">
        <v>5.0999999999999996</v>
      </c>
      <c r="W175" s="18">
        <v>3.5</v>
      </c>
      <c r="X175" s="18">
        <v>1.4</v>
      </c>
      <c r="Y175" s="18">
        <v>0.3</v>
      </c>
      <c r="Z175" s="18" t="s">
        <v>0</v>
      </c>
      <c r="AA175" s="18" t="s">
        <v>8</v>
      </c>
      <c r="AB175" s="18" t="s">
        <v>9</v>
      </c>
      <c r="AC175" s="18" t="s">
        <v>8</v>
      </c>
      <c r="AD175" s="53" t="s">
        <v>8</v>
      </c>
    </row>
    <row r="176" spans="2:30">
      <c r="B176" s="29">
        <v>7.7</v>
      </c>
      <c r="C176" s="22">
        <v>2.6</v>
      </c>
      <c r="D176" s="22">
        <v>6.9</v>
      </c>
      <c r="E176" s="22">
        <v>2.2999999999999998</v>
      </c>
      <c r="F176" s="22" t="s">
        <v>2</v>
      </c>
      <c r="G176" s="18" t="s">
        <v>10</v>
      </c>
      <c r="H176" s="18" t="s">
        <v>8</v>
      </c>
      <c r="I176" s="18" t="s">
        <v>10</v>
      </c>
      <c r="J176" s="53" t="s">
        <v>10</v>
      </c>
      <c r="L176" s="29">
        <v>6.2</v>
      </c>
      <c r="M176" s="22">
        <v>2.2000000000000002</v>
      </c>
      <c r="N176" s="22">
        <v>4.5</v>
      </c>
      <c r="O176" s="22">
        <v>1.5</v>
      </c>
      <c r="P176" s="22" t="s">
        <v>1</v>
      </c>
      <c r="Q176" s="18" t="s">
        <v>9</v>
      </c>
      <c r="R176" s="18" t="s">
        <v>8</v>
      </c>
      <c r="S176" s="18" t="s">
        <v>9</v>
      </c>
      <c r="T176" s="53" t="s">
        <v>9</v>
      </c>
      <c r="V176" s="29">
        <v>5.7</v>
      </c>
      <c r="W176" s="22">
        <v>3.8</v>
      </c>
      <c r="X176" s="22">
        <v>1.7</v>
      </c>
      <c r="Y176" s="22">
        <v>0.3</v>
      </c>
      <c r="Z176" s="22" t="s">
        <v>0</v>
      </c>
      <c r="AA176" s="18" t="s">
        <v>9</v>
      </c>
      <c r="AB176" s="18" t="s">
        <v>10</v>
      </c>
      <c r="AC176" s="18" t="s">
        <v>8</v>
      </c>
      <c r="AD176" s="53" t="s">
        <v>8</v>
      </c>
    </row>
    <row r="177" spans="2:30">
      <c r="B177" s="29">
        <v>6.9</v>
      </c>
      <c r="C177" s="22">
        <v>3.2</v>
      </c>
      <c r="D177" s="22">
        <v>5.7</v>
      </c>
      <c r="E177" s="22">
        <v>2.2999999999999998</v>
      </c>
      <c r="F177" s="22" t="s">
        <v>2</v>
      </c>
      <c r="G177" s="18" t="s">
        <v>10</v>
      </c>
      <c r="H177" s="18" t="s">
        <v>9</v>
      </c>
      <c r="I177" s="18" t="s">
        <v>10</v>
      </c>
      <c r="J177" s="53" t="s">
        <v>10</v>
      </c>
      <c r="L177" s="31">
        <v>5.6</v>
      </c>
      <c r="M177" s="18">
        <v>2.5</v>
      </c>
      <c r="N177" s="18">
        <v>3.9</v>
      </c>
      <c r="O177" s="18">
        <v>1.1000000000000001</v>
      </c>
      <c r="P177" s="18" t="s">
        <v>1</v>
      </c>
      <c r="Q177" s="18" t="s">
        <v>9</v>
      </c>
      <c r="R177" s="18" t="s">
        <v>8</v>
      </c>
      <c r="S177" s="18" t="s">
        <v>9</v>
      </c>
      <c r="T177" s="53" t="s">
        <v>9</v>
      </c>
      <c r="V177" s="31">
        <v>5.0999999999999996</v>
      </c>
      <c r="W177" s="18">
        <v>3.8</v>
      </c>
      <c r="X177" s="18">
        <v>1.5</v>
      </c>
      <c r="Y177" s="18">
        <v>0.3</v>
      </c>
      <c r="Z177" s="18" t="s">
        <v>0</v>
      </c>
      <c r="AA177" s="18" t="s">
        <v>8</v>
      </c>
      <c r="AB177" s="18" t="s">
        <v>10</v>
      </c>
      <c r="AC177" s="18" t="s">
        <v>8</v>
      </c>
      <c r="AD177" s="53" t="s">
        <v>8</v>
      </c>
    </row>
    <row r="178" spans="2:30">
      <c r="B178" s="31">
        <v>5.6</v>
      </c>
      <c r="C178" s="18">
        <v>2.8</v>
      </c>
      <c r="D178" s="18">
        <v>4.9000000000000004</v>
      </c>
      <c r="E178" s="18">
        <v>2</v>
      </c>
      <c r="F178" s="18" t="s">
        <v>2</v>
      </c>
      <c r="G178" s="18" t="s">
        <v>9</v>
      </c>
      <c r="H178" s="18" t="s">
        <v>8</v>
      </c>
      <c r="I178" s="18" t="s">
        <v>10</v>
      </c>
      <c r="J178" s="53" t="s">
        <v>10</v>
      </c>
      <c r="L178" s="31">
        <v>6.1</v>
      </c>
      <c r="M178" s="18">
        <v>2.8</v>
      </c>
      <c r="N178" s="18">
        <v>4</v>
      </c>
      <c r="O178" s="18">
        <v>1.3</v>
      </c>
      <c r="P178" s="18" t="s">
        <v>1</v>
      </c>
      <c r="Q178" s="18" t="s">
        <v>9</v>
      </c>
      <c r="R178" s="18" t="s">
        <v>8</v>
      </c>
      <c r="S178" s="18" t="s">
        <v>9</v>
      </c>
      <c r="T178" s="53" t="s">
        <v>9</v>
      </c>
      <c r="V178" s="29">
        <v>5.4</v>
      </c>
      <c r="W178" s="22">
        <v>3.4</v>
      </c>
      <c r="X178" s="22">
        <v>1.7</v>
      </c>
      <c r="Y178" s="22">
        <v>0.2</v>
      </c>
      <c r="Z178" s="22" t="s">
        <v>0</v>
      </c>
      <c r="AA178" s="18" t="s">
        <v>8</v>
      </c>
      <c r="AB178" s="18" t="s">
        <v>9</v>
      </c>
      <c r="AC178" s="18" t="s">
        <v>8</v>
      </c>
      <c r="AD178" s="53" t="s">
        <v>8</v>
      </c>
    </row>
    <row r="179" spans="2:30">
      <c r="B179" s="29">
        <v>7.7</v>
      </c>
      <c r="C179" s="22">
        <v>2.8</v>
      </c>
      <c r="D179" s="22">
        <v>6.7</v>
      </c>
      <c r="E179" s="22">
        <v>2</v>
      </c>
      <c r="F179" s="22" t="s">
        <v>2</v>
      </c>
      <c r="G179" s="18" t="s">
        <v>10</v>
      </c>
      <c r="H179" s="18" t="s">
        <v>8</v>
      </c>
      <c r="I179" s="18" t="s">
        <v>10</v>
      </c>
      <c r="J179" s="53" t="s">
        <v>10</v>
      </c>
      <c r="L179" s="29">
        <v>6.3</v>
      </c>
      <c r="M179" s="22">
        <v>2.5</v>
      </c>
      <c r="N179" s="22">
        <v>4.9000000000000004</v>
      </c>
      <c r="O179" s="22">
        <v>1.5</v>
      </c>
      <c r="P179" s="22" t="s">
        <v>1</v>
      </c>
      <c r="Q179" s="18" t="s">
        <v>9</v>
      </c>
      <c r="R179" s="18" t="s">
        <v>8</v>
      </c>
      <c r="S179" s="18" t="s">
        <v>10</v>
      </c>
      <c r="T179" s="53" t="s">
        <v>9</v>
      </c>
      <c r="V179" s="31">
        <v>5.0999999999999996</v>
      </c>
      <c r="W179" s="18">
        <v>3.7</v>
      </c>
      <c r="X179" s="18">
        <v>1.5</v>
      </c>
      <c r="Y179" s="18">
        <v>0.4</v>
      </c>
      <c r="Z179" s="18" t="s">
        <v>0</v>
      </c>
      <c r="AA179" s="18" t="s">
        <v>8</v>
      </c>
      <c r="AB179" s="18" t="s">
        <v>10</v>
      </c>
      <c r="AC179" s="18" t="s">
        <v>8</v>
      </c>
      <c r="AD179" s="53" t="s">
        <v>8</v>
      </c>
    </row>
    <row r="180" spans="2:30">
      <c r="B180" s="31">
        <v>6.3</v>
      </c>
      <c r="C180" s="18">
        <v>2.7</v>
      </c>
      <c r="D180" s="18">
        <v>4.9000000000000004</v>
      </c>
      <c r="E180" s="18">
        <v>1.8</v>
      </c>
      <c r="F180" s="18" t="s">
        <v>2</v>
      </c>
      <c r="G180" s="18" t="s">
        <v>9</v>
      </c>
      <c r="H180" s="18" t="s">
        <v>8</v>
      </c>
      <c r="I180" s="18" t="s">
        <v>10</v>
      </c>
      <c r="J180" s="53" t="s">
        <v>10</v>
      </c>
      <c r="L180" s="31">
        <v>6.1</v>
      </c>
      <c r="M180" s="18">
        <v>2.8</v>
      </c>
      <c r="N180" s="18">
        <v>4.7</v>
      </c>
      <c r="O180" s="18">
        <v>1.2</v>
      </c>
      <c r="P180" s="18" t="s">
        <v>1</v>
      </c>
      <c r="Q180" s="18" t="s">
        <v>9</v>
      </c>
      <c r="R180" s="18" t="s">
        <v>8</v>
      </c>
      <c r="S180" s="18" t="s">
        <v>9</v>
      </c>
      <c r="T180" s="53" t="s">
        <v>9</v>
      </c>
      <c r="V180" s="29">
        <v>4.5999999999999996</v>
      </c>
      <c r="W180" s="22">
        <v>3.6</v>
      </c>
      <c r="X180" s="22">
        <v>1</v>
      </c>
      <c r="Y180" s="22">
        <v>0.2</v>
      </c>
      <c r="Z180" s="22" t="s">
        <v>0</v>
      </c>
      <c r="AA180" s="18" t="s">
        <v>8</v>
      </c>
      <c r="AB180" s="18" t="s">
        <v>10</v>
      </c>
      <c r="AC180" s="18" t="s">
        <v>8</v>
      </c>
      <c r="AD180" s="53" t="s">
        <v>8</v>
      </c>
    </row>
    <row r="181" spans="2:30">
      <c r="B181" s="29">
        <v>6.7</v>
      </c>
      <c r="C181" s="22">
        <v>3.3</v>
      </c>
      <c r="D181" s="22">
        <v>5.7</v>
      </c>
      <c r="E181" s="22">
        <v>2.1</v>
      </c>
      <c r="F181" s="22" t="s">
        <v>2</v>
      </c>
      <c r="G181" s="18" t="s">
        <v>10</v>
      </c>
      <c r="H181" s="18" t="s">
        <v>9</v>
      </c>
      <c r="I181" s="18" t="s">
        <v>10</v>
      </c>
      <c r="J181" s="53" t="s">
        <v>10</v>
      </c>
      <c r="L181" s="29">
        <v>6.4</v>
      </c>
      <c r="M181" s="22">
        <v>2.9</v>
      </c>
      <c r="N181" s="22">
        <v>4.3</v>
      </c>
      <c r="O181" s="22">
        <v>1.3</v>
      </c>
      <c r="P181" s="22" t="s">
        <v>1</v>
      </c>
      <c r="Q181" s="18" t="s">
        <v>9</v>
      </c>
      <c r="R181" s="18" t="s">
        <v>8</v>
      </c>
      <c r="S181" s="18" t="s">
        <v>9</v>
      </c>
      <c r="T181" s="53" t="s">
        <v>9</v>
      </c>
      <c r="V181" s="31">
        <v>5.0999999999999996</v>
      </c>
      <c r="W181" s="18">
        <v>3.3</v>
      </c>
      <c r="X181" s="18">
        <v>1.7</v>
      </c>
      <c r="Y181" s="18">
        <v>0.5</v>
      </c>
      <c r="Z181" s="18" t="s">
        <v>0</v>
      </c>
      <c r="AA181" s="18" t="s">
        <v>8</v>
      </c>
      <c r="AB181" s="18" t="s">
        <v>9</v>
      </c>
      <c r="AC181" s="18" t="s">
        <v>8</v>
      </c>
      <c r="AD181" s="53" t="s">
        <v>8</v>
      </c>
    </row>
    <row r="182" spans="2:30">
      <c r="B182" s="31">
        <v>7.2</v>
      </c>
      <c r="C182" s="18">
        <v>3.2</v>
      </c>
      <c r="D182" s="18">
        <v>6</v>
      </c>
      <c r="E182" s="18">
        <v>1.8</v>
      </c>
      <c r="F182" s="18" t="s">
        <v>2</v>
      </c>
      <c r="G182" s="18" t="s">
        <v>10</v>
      </c>
      <c r="H182" s="18" t="s">
        <v>9</v>
      </c>
      <c r="I182" s="18" t="s">
        <v>10</v>
      </c>
      <c r="J182" s="53" t="s">
        <v>10</v>
      </c>
      <c r="L182" s="31">
        <v>6.6</v>
      </c>
      <c r="M182" s="18">
        <v>3</v>
      </c>
      <c r="N182" s="18">
        <v>4.4000000000000004</v>
      </c>
      <c r="O182" s="18">
        <v>1.4</v>
      </c>
      <c r="P182" s="18" t="s">
        <v>1</v>
      </c>
      <c r="Q182" s="18" t="s">
        <v>10</v>
      </c>
      <c r="R182" s="18" t="s">
        <v>9</v>
      </c>
      <c r="S182" s="18" t="s">
        <v>9</v>
      </c>
      <c r="T182" s="53" t="s">
        <v>9</v>
      </c>
      <c r="V182" s="29">
        <v>4.8</v>
      </c>
      <c r="W182" s="22">
        <v>3.4</v>
      </c>
      <c r="X182" s="22">
        <v>1.9</v>
      </c>
      <c r="Y182" s="22">
        <v>0.2</v>
      </c>
      <c r="Z182" s="22" t="s">
        <v>0</v>
      </c>
      <c r="AA182" s="18" t="s">
        <v>8</v>
      </c>
      <c r="AB182" s="18" t="s">
        <v>9</v>
      </c>
      <c r="AC182" s="18" t="s">
        <v>8</v>
      </c>
      <c r="AD182" s="53" t="s">
        <v>8</v>
      </c>
    </row>
    <row r="183" spans="2:30">
      <c r="B183" s="29">
        <v>6.2</v>
      </c>
      <c r="C183" s="22">
        <v>2.8</v>
      </c>
      <c r="D183" s="22">
        <v>4.8</v>
      </c>
      <c r="E183" s="22">
        <v>1.8</v>
      </c>
      <c r="F183" s="22" t="s">
        <v>2</v>
      </c>
      <c r="G183" s="18" t="s">
        <v>9</v>
      </c>
      <c r="H183" s="18" t="s">
        <v>8</v>
      </c>
      <c r="I183" s="18" t="s">
        <v>9</v>
      </c>
      <c r="J183" s="53" t="s">
        <v>10</v>
      </c>
      <c r="L183" s="29">
        <v>6.8</v>
      </c>
      <c r="M183" s="22">
        <v>2.8</v>
      </c>
      <c r="N183" s="22">
        <v>4.8</v>
      </c>
      <c r="O183" s="22">
        <v>1.4</v>
      </c>
      <c r="P183" s="22" t="s">
        <v>1</v>
      </c>
      <c r="Q183" s="18" t="s">
        <v>10</v>
      </c>
      <c r="R183" s="18" t="s">
        <v>8</v>
      </c>
      <c r="S183" s="18" t="s">
        <v>9</v>
      </c>
      <c r="T183" s="53" t="s">
        <v>9</v>
      </c>
      <c r="V183" s="31">
        <v>5</v>
      </c>
      <c r="W183" s="18">
        <v>3</v>
      </c>
      <c r="X183" s="18">
        <v>1.6</v>
      </c>
      <c r="Y183" s="18">
        <v>0.2</v>
      </c>
      <c r="Z183" s="18" t="s">
        <v>0</v>
      </c>
      <c r="AA183" s="18" t="s">
        <v>8</v>
      </c>
      <c r="AB183" s="18" t="s">
        <v>9</v>
      </c>
      <c r="AC183" s="18" t="s">
        <v>8</v>
      </c>
      <c r="AD183" s="53" t="s">
        <v>8</v>
      </c>
    </row>
    <row r="184" spans="2:30">
      <c r="B184" s="31">
        <v>6.1</v>
      </c>
      <c r="C184" s="18">
        <v>3</v>
      </c>
      <c r="D184" s="18">
        <v>4.9000000000000004</v>
      </c>
      <c r="E184" s="18">
        <v>1.8</v>
      </c>
      <c r="F184" s="18" t="s">
        <v>2</v>
      </c>
      <c r="G184" s="18" t="s">
        <v>9</v>
      </c>
      <c r="H184" s="18" t="s">
        <v>9</v>
      </c>
      <c r="I184" s="18" t="s">
        <v>10</v>
      </c>
      <c r="J184" s="53" t="s">
        <v>10</v>
      </c>
      <c r="L184" s="31">
        <v>6.7</v>
      </c>
      <c r="M184" s="18">
        <v>3</v>
      </c>
      <c r="N184" s="18">
        <v>5</v>
      </c>
      <c r="O184" s="18">
        <v>1.7</v>
      </c>
      <c r="P184" s="18" t="s">
        <v>1</v>
      </c>
      <c r="Q184" s="18" t="s">
        <v>10</v>
      </c>
      <c r="R184" s="18" t="s">
        <v>9</v>
      </c>
      <c r="S184" s="18" t="s">
        <v>10</v>
      </c>
      <c r="T184" s="53" t="s">
        <v>9</v>
      </c>
      <c r="V184" s="29">
        <v>5</v>
      </c>
      <c r="W184" s="22">
        <v>3.4</v>
      </c>
      <c r="X184" s="22">
        <v>1.6</v>
      </c>
      <c r="Y184" s="22">
        <v>0.4</v>
      </c>
      <c r="Z184" s="22" t="s">
        <v>0</v>
      </c>
      <c r="AA184" s="18" t="s">
        <v>8</v>
      </c>
      <c r="AB184" s="18" t="s">
        <v>9</v>
      </c>
      <c r="AC184" s="18" t="s">
        <v>8</v>
      </c>
      <c r="AD184" s="53" t="s">
        <v>8</v>
      </c>
    </row>
    <row r="185" spans="2:30">
      <c r="B185" s="29">
        <v>6.4</v>
      </c>
      <c r="C185" s="22">
        <v>2.8</v>
      </c>
      <c r="D185" s="22">
        <v>5.6</v>
      </c>
      <c r="E185" s="22">
        <v>2.1</v>
      </c>
      <c r="F185" s="22" t="s">
        <v>2</v>
      </c>
      <c r="G185" s="18" t="s">
        <v>9</v>
      </c>
      <c r="H185" s="18" t="s">
        <v>8</v>
      </c>
      <c r="I185" s="18" t="s">
        <v>10</v>
      </c>
      <c r="J185" s="53" t="s">
        <v>10</v>
      </c>
      <c r="L185" s="29">
        <v>6</v>
      </c>
      <c r="M185" s="22">
        <v>2.9</v>
      </c>
      <c r="N185" s="22">
        <v>4.5</v>
      </c>
      <c r="O185" s="22">
        <v>1.5</v>
      </c>
      <c r="P185" s="22" t="s">
        <v>1</v>
      </c>
      <c r="Q185" s="18" t="s">
        <v>9</v>
      </c>
      <c r="R185" s="18" t="s">
        <v>8</v>
      </c>
      <c r="S185" s="18" t="s">
        <v>9</v>
      </c>
      <c r="T185" s="53" t="s">
        <v>9</v>
      </c>
      <c r="V185" s="31">
        <v>5.2</v>
      </c>
      <c r="W185" s="18">
        <v>3.5</v>
      </c>
      <c r="X185" s="18">
        <v>1.5</v>
      </c>
      <c r="Y185" s="18">
        <v>0.2</v>
      </c>
      <c r="Z185" s="18" t="s">
        <v>0</v>
      </c>
      <c r="AA185" s="18" t="s">
        <v>8</v>
      </c>
      <c r="AB185" s="18" t="s">
        <v>9</v>
      </c>
      <c r="AC185" s="18" t="s">
        <v>8</v>
      </c>
      <c r="AD185" s="53" t="s">
        <v>8</v>
      </c>
    </row>
    <row r="186" spans="2:30">
      <c r="B186" s="29">
        <v>7.4</v>
      </c>
      <c r="C186" s="22">
        <v>2.8</v>
      </c>
      <c r="D186" s="22">
        <v>6.1</v>
      </c>
      <c r="E186" s="22">
        <v>1.9</v>
      </c>
      <c r="F186" s="22" t="s">
        <v>2</v>
      </c>
      <c r="G186" s="18" t="s">
        <v>10</v>
      </c>
      <c r="H186" s="18" t="s">
        <v>8</v>
      </c>
      <c r="I186" s="18" t="s">
        <v>10</v>
      </c>
      <c r="J186" s="53" t="s">
        <v>10</v>
      </c>
      <c r="L186" s="31">
        <v>5.7</v>
      </c>
      <c r="M186" s="18">
        <v>2.6</v>
      </c>
      <c r="N186" s="18">
        <v>3.5</v>
      </c>
      <c r="O186" s="18">
        <v>1</v>
      </c>
      <c r="P186" s="18" t="s">
        <v>1</v>
      </c>
      <c r="Q186" s="18" t="s">
        <v>9</v>
      </c>
      <c r="R186" s="18" t="s">
        <v>8</v>
      </c>
      <c r="S186" s="18" t="s">
        <v>9</v>
      </c>
      <c r="T186" s="53" t="s">
        <v>9</v>
      </c>
      <c r="V186" s="29">
        <v>5.2</v>
      </c>
      <c r="W186" s="22">
        <v>3.4</v>
      </c>
      <c r="X186" s="22">
        <v>1.4</v>
      </c>
      <c r="Y186" s="22">
        <v>0.2</v>
      </c>
      <c r="Z186" s="22" t="s">
        <v>0</v>
      </c>
      <c r="AA186" s="18" t="s">
        <v>8</v>
      </c>
      <c r="AB186" s="18" t="s">
        <v>9</v>
      </c>
      <c r="AC186" s="18" t="s">
        <v>8</v>
      </c>
      <c r="AD186" s="53" t="s">
        <v>8</v>
      </c>
    </row>
    <row r="187" spans="2:30">
      <c r="B187" s="31">
        <v>7.9</v>
      </c>
      <c r="C187" s="18">
        <v>3.8</v>
      </c>
      <c r="D187" s="18">
        <v>6.4</v>
      </c>
      <c r="E187" s="18">
        <v>2</v>
      </c>
      <c r="F187" s="18" t="s">
        <v>2</v>
      </c>
      <c r="G187" s="18" t="s">
        <v>10</v>
      </c>
      <c r="H187" s="18" t="s">
        <v>10</v>
      </c>
      <c r="I187" s="18" t="s">
        <v>10</v>
      </c>
      <c r="J187" s="53" t="s">
        <v>10</v>
      </c>
      <c r="L187" s="29">
        <v>5.5</v>
      </c>
      <c r="M187" s="22">
        <v>2.4</v>
      </c>
      <c r="N187" s="22">
        <v>3.8</v>
      </c>
      <c r="O187" s="22">
        <v>1.1000000000000001</v>
      </c>
      <c r="P187" s="22" t="s">
        <v>1</v>
      </c>
      <c r="Q187" s="18" t="s">
        <v>8</v>
      </c>
      <c r="R187" s="18" t="s">
        <v>8</v>
      </c>
      <c r="S187" s="18" t="s">
        <v>9</v>
      </c>
      <c r="T187" s="53" t="s">
        <v>9</v>
      </c>
      <c r="V187" s="31">
        <v>4.7</v>
      </c>
      <c r="W187" s="18">
        <v>3.2</v>
      </c>
      <c r="X187" s="18">
        <v>1.6</v>
      </c>
      <c r="Y187" s="18">
        <v>0.2</v>
      </c>
      <c r="Z187" s="18" t="s">
        <v>0</v>
      </c>
      <c r="AA187" s="18" t="s">
        <v>8</v>
      </c>
      <c r="AB187" s="18" t="s">
        <v>9</v>
      </c>
      <c r="AC187" s="18" t="s">
        <v>8</v>
      </c>
      <c r="AD187" s="53" t="s">
        <v>8</v>
      </c>
    </row>
    <row r="188" spans="2:30">
      <c r="B188" s="29">
        <v>6.4</v>
      </c>
      <c r="C188" s="22">
        <v>2.8</v>
      </c>
      <c r="D188" s="22">
        <v>5.6</v>
      </c>
      <c r="E188" s="22">
        <v>2.2000000000000002</v>
      </c>
      <c r="F188" s="22" t="s">
        <v>2</v>
      </c>
      <c r="G188" s="18" t="s">
        <v>9</v>
      </c>
      <c r="H188" s="18" t="s">
        <v>8</v>
      </c>
      <c r="I188" s="18" t="s">
        <v>10</v>
      </c>
      <c r="J188" s="53" t="s">
        <v>10</v>
      </c>
      <c r="L188" s="31">
        <v>5.5</v>
      </c>
      <c r="M188" s="18">
        <v>2.4</v>
      </c>
      <c r="N188" s="18">
        <v>3.7</v>
      </c>
      <c r="O188" s="18">
        <v>1</v>
      </c>
      <c r="P188" s="18" t="s">
        <v>1</v>
      </c>
      <c r="Q188" s="18" t="s">
        <v>8</v>
      </c>
      <c r="R188" s="18" t="s">
        <v>8</v>
      </c>
      <c r="S188" s="18" t="s">
        <v>9</v>
      </c>
      <c r="T188" s="53" t="s">
        <v>9</v>
      </c>
      <c r="V188" s="29">
        <v>4.8</v>
      </c>
      <c r="W188" s="22">
        <v>3.1</v>
      </c>
      <c r="X188" s="22">
        <v>1.6</v>
      </c>
      <c r="Y188" s="22">
        <v>0.2</v>
      </c>
      <c r="Z188" s="22" t="s">
        <v>0</v>
      </c>
      <c r="AA188" s="18" t="s">
        <v>8</v>
      </c>
      <c r="AB188" s="18" t="s">
        <v>9</v>
      </c>
      <c r="AC188" s="18" t="s">
        <v>8</v>
      </c>
      <c r="AD188" s="53" t="s">
        <v>8</v>
      </c>
    </row>
    <row r="189" spans="2:30">
      <c r="B189" s="31">
        <v>7.7</v>
      </c>
      <c r="C189" s="18">
        <v>3</v>
      </c>
      <c r="D189" s="18">
        <v>6.1</v>
      </c>
      <c r="E189" s="18">
        <v>2.2999999999999998</v>
      </c>
      <c r="F189" s="18" t="s">
        <v>2</v>
      </c>
      <c r="G189" s="18" t="s">
        <v>10</v>
      </c>
      <c r="H189" s="18" t="s">
        <v>9</v>
      </c>
      <c r="I189" s="18" t="s">
        <v>10</v>
      </c>
      <c r="J189" s="53" t="s">
        <v>10</v>
      </c>
      <c r="L189" s="29">
        <v>5.8</v>
      </c>
      <c r="M189" s="22">
        <v>2.7</v>
      </c>
      <c r="N189" s="22">
        <v>3.9</v>
      </c>
      <c r="O189" s="22">
        <v>1.2</v>
      </c>
      <c r="P189" s="22" t="s">
        <v>1</v>
      </c>
      <c r="Q189" s="18" t="s">
        <v>9</v>
      </c>
      <c r="R189" s="18" t="s">
        <v>8</v>
      </c>
      <c r="S189" s="18" t="s">
        <v>9</v>
      </c>
      <c r="T189" s="53" t="s">
        <v>9</v>
      </c>
      <c r="V189" s="31">
        <v>5.4</v>
      </c>
      <c r="W189" s="18">
        <v>3.4</v>
      </c>
      <c r="X189" s="18">
        <v>1.5</v>
      </c>
      <c r="Y189" s="18">
        <v>0.4</v>
      </c>
      <c r="Z189" s="18" t="s">
        <v>0</v>
      </c>
      <c r="AA189" s="18" t="s">
        <v>8</v>
      </c>
      <c r="AB189" s="18" t="s">
        <v>9</v>
      </c>
      <c r="AC189" s="18" t="s">
        <v>8</v>
      </c>
      <c r="AD189" s="53" t="s">
        <v>8</v>
      </c>
    </row>
    <row r="190" spans="2:30">
      <c r="B190" s="29">
        <v>6.3</v>
      </c>
      <c r="C190" s="22">
        <v>3.4</v>
      </c>
      <c r="D190" s="22">
        <v>5.6</v>
      </c>
      <c r="E190" s="22">
        <v>2.4</v>
      </c>
      <c r="F190" s="22" t="s">
        <v>2</v>
      </c>
      <c r="G190" s="18" t="s">
        <v>9</v>
      </c>
      <c r="H190" s="18" t="s">
        <v>9</v>
      </c>
      <c r="I190" s="18" t="s">
        <v>10</v>
      </c>
      <c r="J190" s="53" t="s">
        <v>10</v>
      </c>
      <c r="L190" s="31">
        <v>6</v>
      </c>
      <c r="M190" s="18">
        <v>2.7</v>
      </c>
      <c r="N190" s="18">
        <v>5.0999999999999996</v>
      </c>
      <c r="O190" s="18">
        <v>1.6</v>
      </c>
      <c r="P190" s="18" t="s">
        <v>1</v>
      </c>
      <c r="Q190" s="18" t="s">
        <v>9</v>
      </c>
      <c r="R190" s="18" t="s">
        <v>8</v>
      </c>
      <c r="S190" s="18" t="s">
        <v>10</v>
      </c>
      <c r="T190" s="53" t="s">
        <v>9</v>
      </c>
      <c r="V190" s="29">
        <v>5.2</v>
      </c>
      <c r="W190" s="22">
        <v>4.0999999999999996</v>
      </c>
      <c r="X190" s="22">
        <v>1.5</v>
      </c>
      <c r="Y190" s="22">
        <v>0.1</v>
      </c>
      <c r="Z190" s="22" t="s">
        <v>0</v>
      </c>
      <c r="AA190" s="18" t="s">
        <v>8</v>
      </c>
      <c r="AB190" s="18" t="s">
        <v>10</v>
      </c>
      <c r="AC190" s="18" t="s">
        <v>8</v>
      </c>
      <c r="AD190" s="53" t="s">
        <v>8</v>
      </c>
    </row>
    <row r="191" spans="2:30">
      <c r="B191" s="31">
        <v>6.4</v>
      </c>
      <c r="C191" s="18">
        <v>3.1</v>
      </c>
      <c r="D191" s="18">
        <v>5.5</v>
      </c>
      <c r="E191" s="18">
        <v>1.8</v>
      </c>
      <c r="F191" s="18" t="s">
        <v>2</v>
      </c>
      <c r="G191" s="18" t="s">
        <v>9</v>
      </c>
      <c r="H191" s="18" t="s">
        <v>9</v>
      </c>
      <c r="I191" s="18" t="s">
        <v>10</v>
      </c>
      <c r="J191" s="53" t="s">
        <v>10</v>
      </c>
      <c r="L191" s="29">
        <v>5.4</v>
      </c>
      <c r="M191" s="22">
        <v>3</v>
      </c>
      <c r="N191" s="22">
        <v>4.5</v>
      </c>
      <c r="O191" s="22">
        <v>1.5</v>
      </c>
      <c r="P191" s="22" t="s">
        <v>1</v>
      </c>
      <c r="Q191" s="18" t="s">
        <v>8</v>
      </c>
      <c r="R191" s="18" t="s">
        <v>9</v>
      </c>
      <c r="S191" s="18" t="s">
        <v>9</v>
      </c>
      <c r="T191" s="53" t="s">
        <v>9</v>
      </c>
      <c r="V191" s="31">
        <v>5.5</v>
      </c>
      <c r="W191" s="18">
        <v>4.2</v>
      </c>
      <c r="X191" s="18">
        <v>1.4</v>
      </c>
      <c r="Y191" s="18">
        <v>0.2</v>
      </c>
      <c r="Z191" s="18" t="s">
        <v>0</v>
      </c>
      <c r="AA191" s="18" t="s">
        <v>8</v>
      </c>
      <c r="AB191" s="18" t="s">
        <v>10</v>
      </c>
      <c r="AC191" s="18" t="s">
        <v>8</v>
      </c>
      <c r="AD191" s="53" t="s">
        <v>8</v>
      </c>
    </row>
    <row r="192" spans="2:30">
      <c r="B192" s="29">
        <v>6</v>
      </c>
      <c r="C192" s="22">
        <v>3</v>
      </c>
      <c r="D192" s="22">
        <v>4.8</v>
      </c>
      <c r="E192" s="22">
        <v>1.8</v>
      </c>
      <c r="F192" s="22" t="s">
        <v>2</v>
      </c>
      <c r="G192" s="18" t="s">
        <v>9</v>
      </c>
      <c r="H192" s="18" t="s">
        <v>9</v>
      </c>
      <c r="I192" s="18" t="s">
        <v>9</v>
      </c>
      <c r="J192" s="53" t="s">
        <v>10</v>
      </c>
      <c r="L192" s="31">
        <v>6</v>
      </c>
      <c r="M192" s="18">
        <v>3.4</v>
      </c>
      <c r="N192" s="18">
        <v>4.5</v>
      </c>
      <c r="O192" s="18">
        <v>1.6</v>
      </c>
      <c r="P192" s="18" t="s">
        <v>1</v>
      </c>
      <c r="Q192" s="18" t="s">
        <v>9</v>
      </c>
      <c r="R192" s="18" t="s">
        <v>9</v>
      </c>
      <c r="S192" s="18" t="s">
        <v>9</v>
      </c>
      <c r="T192" s="53" t="s">
        <v>9</v>
      </c>
      <c r="V192" s="29">
        <v>4.9000000000000004</v>
      </c>
      <c r="W192" s="22">
        <v>3.1</v>
      </c>
      <c r="X192" s="22">
        <v>1.5</v>
      </c>
      <c r="Y192" s="22">
        <v>0.1</v>
      </c>
      <c r="Z192" s="22" t="s">
        <v>0</v>
      </c>
      <c r="AA192" s="18" t="s">
        <v>8</v>
      </c>
      <c r="AB192" s="18" t="s">
        <v>9</v>
      </c>
      <c r="AC192" s="18" t="s">
        <v>8</v>
      </c>
      <c r="AD192" s="53" t="s">
        <v>8</v>
      </c>
    </row>
    <row r="193" spans="2:30">
      <c r="B193" s="31">
        <v>6.9</v>
      </c>
      <c r="C193" s="18">
        <v>3.1</v>
      </c>
      <c r="D193" s="18">
        <v>5.4</v>
      </c>
      <c r="E193" s="18">
        <v>2.1</v>
      </c>
      <c r="F193" s="18" t="s">
        <v>2</v>
      </c>
      <c r="G193" s="18" t="s">
        <v>10</v>
      </c>
      <c r="H193" s="18" t="s">
        <v>9</v>
      </c>
      <c r="I193" s="18" t="s">
        <v>10</v>
      </c>
      <c r="J193" s="53" t="s">
        <v>10</v>
      </c>
      <c r="L193" s="29">
        <v>6.7</v>
      </c>
      <c r="M193" s="22">
        <v>3.1</v>
      </c>
      <c r="N193" s="22">
        <v>4.7</v>
      </c>
      <c r="O193" s="22">
        <v>1.5</v>
      </c>
      <c r="P193" s="22" t="s">
        <v>1</v>
      </c>
      <c r="Q193" s="18" t="s">
        <v>10</v>
      </c>
      <c r="R193" s="18" t="s">
        <v>9</v>
      </c>
      <c r="S193" s="18" t="s">
        <v>9</v>
      </c>
      <c r="T193" s="53" t="s">
        <v>9</v>
      </c>
      <c r="V193" s="31">
        <v>5</v>
      </c>
      <c r="W193" s="18">
        <v>3.2</v>
      </c>
      <c r="X193" s="18">
        <v>1.2</v>
      </c>
      <c r="Y193" s="18">
        <v>0.2</v>
      </c>
      <c r="Z193" s="18" t="s">
        <v>0</v>
      </c>
      <c r="AA193" s="18" t="s">
        <v>8</v>
      </c>
      <c r="AB193" s="18" t="s">
        <v>9</v>
      </c>
      <c r="AC193" s="18" t="s">
        <v>8</v>
      </c>
      <c r="AD193" s="53" t="s">
        <v>8</v>
      </c>
    </row>
    <row r="194" spans="2:30">
      <c r="B194" s="29">
        <v>6.7</v>
      </c>
      <c r="C194" s="22">
        <v>3.1</v>
      </c>
      <c r="D194" s="22">
        <v>5.6</v>
      </c>
      <c r="E194" s="22">
        <v>2.4</v>
      </c>
      <c r="F194" s="22" t="s">
        <v>2</v>
      </c>
      <c r="G194" s="18" t="s">
        <v>10</v>
      </c>
      <c r="H194" s="18" t="s">
        <v>9</v>
      </c>
      <c r="I194" s="18" t="s">
        <v>10</v>
      </c>
      <c r="J194" s="53" t="s">
        <v>10</v>
      </c>
      <c r="L194" s="31">
        <v>6.3</v>
      </c>
      <c r="M194" s="18">
        <v>2.2999999999999998</v>
      </c>
      <c r="N194" s="18">
        <v>4.4000000000000004</v>
      </c>
      <c r="O194" s="18">
        <v>1.3</v>
      </c>
      <c r="P194" s="18" t="s">
        <v>1</v>
      </c>
      <c r="Q194" s="18" t="s">
        <v>9</v>
      </c>
      <c r="R194" s="18" t="s">
        <v>8</v>
      </c>
      <c r="S194" s="18" t="s">
        <v>9</v>
      </c>
      <c r="T194" s="53" t="s">
        <v>9</v>
      </c>
      <c r="V194" s="29">
        <v>5.5</v>
      </c>
      <c r="W194" s="22">
        <v>3.5</v>
      </c>
      <c r="X194" s="22">
        <v>1.3</v>
      </c>
      <c r="Y194" s="22">
        <v>0.2</v>
      </c>
      <c r="Z194" s="22" t="s">
        <v>0</v>
      </c>
      <c r="AA194" s="18" t="s">
        <v>8</v>
      </c>
      <c r="AB194" s="18" t="s">
        <v>9</v>
      </c>
      <c r="AC194" s="18" t="s">
        <v>8</v>
      </c>
      <c r="AD194" s="53" t="s">
        <v>8</v>
      </c>
    </row>
    <row r="195" spans="2:30">
      <c r="B195" s="31">
        <v>6.9</v>
      </c>
      <c r="C195" s="18">
        <v>3.1</v>
      </c>
      <c r="D195" s="18">
        <v>5.0999999999999996</v>
      </c>
      <c r="E195" s="18">
        <v>2.2999999999999998</v>
      </c>
      <c r="F195" s="18" t="s">
        <v>2</v>
      </c>
      <c r="G195" s="18" t="s">
        <v>10</v>
      </c>
      <c r="H195" s="18" t="s">
        <v>9</v>
      </c>
      <c r="I195" s="18" t="s">
        <v>10</v>
      </c>
      <c r="J195" s="53" t="s">
        <v>10</v>
      </c>
      <c r="L195" s="29">
        <v>5.6</v>
      </c>
      <c r="M195" s="22">
        <v>3</v>
      </c>
      <c r="N195" s="22">
        <v>4.0999999999999996</v>
      </c>
      <c r="O195" s="22">
        <v>1.3</v>
      </c>
      <c r="P195" s="22" t="s">
        <v>1</v>
      </c>
      <c r="Q195" s="18" t="s">
        <v>9</v>
      </c>
      <c r="R195" s="18" t="s">
        <v>9</v>
      </c>
      <c r="S195" s="18" t="s">
        <v>9</v>
      </c>
      <c r="T195" s="53" t="s">
        <v>9</v>
      </c>
      <c r="V195" s="31">
        <v>4.9000000000000004</v>
      </c>
      <c r="W195" s="18">
        <v>3.1</v>
      </c>
      <c r="X195" s="18">
        <v>1.5</v>
      </c>
      <c r="Y195" s="18">
        <v>0.1</v>
      </c>
      <c r="Z195" s="18" t="s">
        <v>0</v>
      </c>
      <c r="AA195" s="18" t="s">
        <v>8</v>
      </c>
      <c r="AB195" s="18" t="s">
        <v>10</v>
      </c>
      <c r="AC195" s="18" t="s">
        <v>8</v>
      </c>
      <c r="AD195" s="53" t="s">
        <v>8</v>
      </c>
    </row>
    <row r="196" spans="2:30">
      <c r="B196" s="29">
        <v>5.8</v>
      </c>
      <c r="C196" s="22">
        <v>2.7</v>
      </c>
      <c r="D196" s="22">
        <v>5.0999999999999996</v>
      </c>
      <c r="E196" s="22">
        <v>1.9</v>
      </c>
      <c r="F196" s="22" t="s">
        <v>2</v>
      </c>
      <c r="G196" s="18" t="s">
        <v>9</v>
      </c>
      <c r="H196" s="18" t="s">
        <v>8</v>
      </c>
      <c r="I196" s="18" t="s">
        <v>10</v>
      </c>
      <c r="J196" s="53" t="s">
        <v>10</v>
      </c>
      <c r="L196" s="31">
        <v>5.5</v>
      </c>
      <c r="M196" s="18">
        <v>2.5</v>
      </c>
      <c r="N196" s="18">
        <v>4</v>
      </c>
      <c r="O196" s="18">
        <v>1.3</v>
      </c>
      <c r="P196" s="18" t="s">
        <v>1</v>
      </c>
      <c r="Q196" s="18" t="s">
        <v>8</v>
      </c>
      <c r="R196" s="18" t="s">
        <v>8</v>
      </c>
      <c r="S196" s="18" t="s">
        <v>9</v>
      </c>
      <c r="T196" s="53" t="s">
        <v>9</v>
      </c>
      <c r="V196" s="29">
        <v>4.4000000000000004</v>
      </c>
      <c r="W196" s="22">
        <v>3</v>
      </c>
      <c r="X196" s="22">
        <v>1.3</v>
      </c>
      <c r="Y196" s="22">
        <v>0.2</v>
      </c>
      <c r="Z196" s="22" t="s">
        <v>0</v>
      </c>
      <c r="AA196" s="18" t="s">
        <v>8</v>
      </c>
      <c r="AB196" s="18" t="s">
        <v>9</v>
      </c>
      <c r="AC196" s="18" t="s">
        <v>8</v>
      </c>
      <c r="AD196" s="53" t="s">
        <v>8</v>
      </c>
    </row>
    <row r="197" spans="2:30">
      <c r="B197" s="31">
        <v>6.8</v>
      </c>
      <c r="C197" s="18">
        <v>3.2</v>
      </c>
      <c r="D197" s="18">
        <v>5.9</v>
      </c>
      <c r="E197" s="18">
        <v>2.2999999999999998</v>
      </c>
      <c r="F197" s="18" t="s">
        <v>2</v>
      </c>
      <c r="G197" s="18" t="s">
        <v>10</v>
      </c>
      <c r="H197" s="18" t="s">
        <v>9</v>
      </c>
      <c r="I197" s="18" t="s">
        <v>10</v>
      </c>
      <c r="J197" s="53" t="s">
        <v>10</v>
      </c>
      <c r="L197" s="29">
        <v>5.5</v>
      </c>
      <c r="M197" s="22">
        <v>2.6</v>
      </c>
      <c r="N197" s="22">
        <v>4.4000000000000004</v>
      </c>
      <c r="O197" s="22">
        <v>1.2</v>
      </c>
      <c r="P197" s="22" t="s">
        <v>1</v>
      </c>
      <c r="Q197" s="18" t="s">
        <v>8</v>
      </c>
      <c r="R197" s="18" t="s">
        <v>8</v>
      </c>
      <c r="S197" s="18" t="s">
        <v>9</v>
      </c>
      <c r="T197" s="53" t="s">
        <v>9</v>
      </c>
      <c r="V197" s="31">
        <v>5.0999999999999996</v>
      </c>
      <c r="W197" s="18">
        <v>3.4</v>
      </c>
      <c r="X197" s="18">
        <v>1.5</v>
      </c>
      <c r="Y197" s="18">
        <v>0.2</v>
      </c>
      <c r="Z197" s="18" t="s">
        <v>0</v>
      </c>
      <c r="AA197" s="18" t="s">
        <v>8</v>
      </c>
      <c r="AB197" s="18" t="s">
        <v>9</v>
      </c>
      <c r="AC197" s="18" t="s">
        <v>8</v>
      </c>
      <c r="AD197" s="53" t="s">
        <v>8</v>
      </c>
    </row>
    <row r="198" spans="2:30">
      <c r="B198" s="29">
        <v>6.7</v>
      </c>
      <c r="C198" s="22">
        <v>3.3</v>
      </c>
      <c r="D198" s="22">
        <v>5.7</v>
      </c>
      <c r="E198" s="22">
        <v>2.5</v>
      </c>
      <c r="F198" s="22" t="s">
        <v>2</v>
      </c>
      <c r="G198" s="18" t="s">
        <v>10</v>
      </c>
      <c r="H198" s="18" t="s">
        <v>9</v>
      </c>
      <c r="I198" s="18" t="s">
        <v>10</v>
      </c>
      <c r="J198" s="53" t="s">
        <v>10</v>
      </c>
      <c r="L198" s="31">
        <v>6.1</v>
      </c>
      <c r="M198" s="18">
        <v>3</v>
      </c>
      <c r="N198" s="18">
        <v>4.5999999999999996</v>
      </c>
      <c r="O198" s="18">
        <v>1.4</v>
      </c>
      <c r="P198" s="18" t="s">
        <v>1</v>
      </c>
      <c r="Q198" s="18" t="s">
        <v>9</v>
      </c>
      <c r="R198" s="18" t="s">
        <v>9</v>
      </c>
      <c r="S198" s="18" t="s">
        <v>9</v>
      </c>
      <c r="T198" s="53" t="s">
        <v>9</v>
      </c>
      <c r="V198" s="29">
        <v>5</v>
      </c>
      <c r="W198" s="22">
        <v>3.5</v>
      </c>
      <c r="X198" s="22">
        <v>1.3</v>
      </c>
      <c r="Y198" s="22">
        <v>0.3</v>
      </c>
      <c r="Z198" s="22" t="s">
        <v>0</v>
      </c>
      <c r="AA198" s="18" t="s">
        <v>8</v>
      </c>
      <c r="AB198" s="18" t="s">
        <v>9</v>
      </c>
      <c r="AC198" s="18" t="s">
        <v>8</v>
      </c>
      <c r="AD198" s="53" t="s">
        <v>8</v>
      </c>
    </row>
    <row r="199" spans="2:30">
      <c r="B199" s="31">
        <v>6.7</v>
      </c>
      <c r="C199" s="18">
        <v>3</v>
      </c>
      <c r="D199" s="18">
        <v>5.2</v>
      </c>
      <c r="E199" s="18">
        <v>2.2999999999999998</v>
      </c>
      <c r="F199" s="18" t="s">
        <v>2</v>
      </c>
      <c r="G199" s="18" t="s">
        <v>10</v>
      </c>
      <c r="H199" s="18" t="s">
        <v>9</v>
      </c>
      <c r="I199" s="18" t="s">
        <v>10</v>
      </c>
      <c r="J199" s="53" t="s">
        <v>10</v>
      </c>
      <c r="L199" s="29">
        <v>5.8</v>
      </c>
      <c r="M199" s="22">
        <v>2.6</v>
      </c>
      <c r="N199" s="22">
        <v>4</v>
      </c>
      <c r="O199" s="22">
        <v>1.2</v>
      </c>
      <c r="P199" s="22" t="s">
        <v>1</v>
      </c>
      <c r="Q199" s="18" t="s">
        <v>9</v>
      </c>
      <c r="R199" s="18" t="s">
        <v>8</v>
      </c>
      <c r="S199" s="18" t="s">
        <v>9</v>
      </c>
      <c r="T199" s="53" t="s">
        <v>9</v>
      </c>
      <c r="V199" s="31">
        <v>4.5</v>
      </c>
      <c r="W199" s="18">
        <v>2.2999999999999998</v>
      </c>
      <c r="X199" s="18">
        <v>1.3</v>
      </c>
      <c r="Y199" s="18">
        <v>0.3</v>
      </c>
      <c r="Z199" s="18" t="s">
        <v>0</v>
      </c>
      <c r="AA199" s="18" t="s">
        <v>8</v>
      </c>
      <c r="AB199" s="18" t="s">
        <v>8</v>
      </c>
      <c r="AC199" s="18" t="s">
        <v>8</v>
      </c>
      <c r="AD199" s="53" t="s">
        <v>8</v>
      </c>
    </row>
    <row r="200" spans="2:30">
      <c r="B200" s="29">
        <v>6.3</v>
      </c>
      <c r="C200" s="22">
        <v>2.5</v>
      </c>
      <c r="D200" s="22">
        <v>5</v>
      </c>
      <c r="E200" s="22">
        <v>1.9</v>
      </c>
      <c r="F200" s="22" t="s">
        <v>2</v>
      </c>
      <c r="G200" s="18" t="s">
        <v>9</v>
      </c>
      <c r="H200" s="18" t="s">
        <v>8</v>
      </c>
      <c r="I200" s="18" t="s">
        <v>10</v>
      </c>
      <c r="J200" s="53" t="s">
        <v>10</v>
      </c>
      <c r="L200" s="31">
        <v>5</v>
      </c>
      <c r="M200" s="18">
        <v>2.2999999999999998</v>
      </c>
      <c r="N200" s="18">
        <v>3.3</v>
      </c>
      <c r="O200" s="18">
        <v>1</v>
      </c>
      <c r="P200" s="18" t="s">
        <v>1</v>
      </c>
      <c r="Q200" s="18" t="s">
        <v>8</v>
      </c>
      <c r="R200" s="18" t="s">
        <v>8</v>
      </c>
      <c r="S200" s="18" t="s">
        <v>9</v>
      </c>
      <c r="T200" s="53" t="s">
        <v>9</v>
      </c>
      <c r="V200" s="29">
        <v>4.4000000000000004</v>
      </c>
      <c r="W200" s="22">
        <v>3.2</v>
      </c>
      <c r="X200" s="22">
        <v>1.3</v>
      </c>
      <c r="Y200" s="22">
        <v>0.2</v>
      </c>
      <c r="Z200" s="22" t="s">
        <v>0</v>
      </c>
      <c r="AA200" s="18" t="s">
        <v>8</v>
      </c>
      <c r="AB200" s="18" t="s">
        <v>9</v>
      </c>
      <c r="AC200" s="18" t="s">
        <v>8</v>
      </c>
      <c r="AD200" s="53" t="s">
        <v>8</v>
      </c>
    </row>
    <row r="201" spans="2:30">
      <c r="B201" s="31">
        <v>6.5</v>
      </c>
      <c r="C201" s="18">
        <v>3</v>
      </c>
      <c r="D201" s="18">
        <v>5.2</v>
      </c>
      <c r="E201" s="18">
        <v>2</v>
      </c>
      <c r="F201" s="18" t="s">
        <v>2</v>
      </c>
      <c r="G201" s="18" t="s">
        <v>9</v>
      </c>
      <c r="H201" s="18" t="s">
        <v>9</v>
      </c>
      <c r="I201" s="18" t="s">
        <v>10</v>
      </c>
      <c r="J201" s="53" t="s">
        <v>10</v>
      </c>
      <c r="L201" s="29">
        <v>5.6</v>
      </c>
      <c r="M201" s="22">
        <v>2.7</v>
      </c>
      <c r="N201" s="22">
        <v>4.2</v>
      </c>
      <c r="O201" s="22">
        <v>1.3</v>
      </c>
      <c r="P201" s="22" t="s">
        <v>1</v>
      </c>
      <c r="Q201" s="18" t="s">
        <v>9</v>
      </c>
      <c r="R201" s="18" t="s">
        <v>8</v>
      </c>
      <c r="S201" s="18" t="s">
        <v>9</v>
      </c>
      <c r="T201" s="53" t="s">
        <v>9</v>
      </c>
      <c r="V201" s="31">
        <v>5</v>
      </c>
      <c r="W201" s="18">
        <v>3.5</v>
      </c>
      <c r="X201" s="18">
        <v>1.6</v>
      </c>
      <c r="Y201" s="18">
        <v>0.6</v>
      </c>
      <c r="Z201" s="18" t="s">
        <v>0</v>
      </c>
      <c r="AA201" s="18" t="s">
        <v>8</v>
      </c>
      <c r="AB201" s="18" t="s">
        <v>9</v>
      </c>
      <c r="AC201" s="18" t="s">
        <v>8</v>
      </c>
      <c r="AD201" s="53" t="s">
        <v>8</v>
      </c>
    </row>
    <row r="202" spans="2:30">
      <c r="B202" s="29">
        <v>6.2</v>
      </c>
      <c r="C202" s="22">
        <v>3.4</v>
      </c>
      <c r="D202" s="22">
        <v>5.4</v>
      </c>
      <c r="E202" s="22">
        <v>2.2999999999999998</v>
      </c>
      <c r="F202" s="22" t="s">
        <v>2</v>
      </c>
      <c r="G202" s="18" t="s">
        <v>9</v>
      </c>
      <c r="H202" s="18" t="s">
        <v>9</v>
      </c>
      <c r="I202" s="18" t="s">
        <v>10</v>
      </c>
      <c r="J202" s="53" t="s">
        <v>10</v>
      </c>
      <c r="L202" s="31">
        <v>5.7</v>
      </c>
      <c r="M202" s="18">
        <v>3</v>
      </c>
      <c r="N202" s="18">
        <v>4.2</v>
      </c>
      <c r="O202" s="18">
        <v>1.2</v>
      </c>
      <c r="P202" s="18" t="s">
        <v>1</v>
      </c>
      <c r="Q202" s="18" t="s">
        <v>9</v>
      </c>
      <c r="R202" s="18" t="s">
        <v>9</v>
      </c>
      <c r="S202" s="18" t="s">
        <v>9</v>
      </c>
      <c r="T202" s="53" t="s">
        <v>9</v>
      </c>
      <c r="V202" s="29">
        <v>5.0999999999999996</v>
      </c>
      <c r="W202" s="22">
        <v>3.8</v>
      </c>
      <c r="X202" s="22">
        <v>1.9</v>
      </c>
      <c r="Y202" s="22">
        <v>0.4</v>
      </c>
      <c r="Z202" s="22" t="s">
        <v>0</v>
      </c>
      <c r="AA202" s="18" t="s">
        <v>8</v>
      </c>
      <c r="AB202" s="18" t="s">
        <v>10</v>
      </c>
      <c r="AC202" s="18" t="s">
        <v>8</v>
      </c>
      <c r="AD202" s="53" t="s">
        <v>8</v>
      </c>
    </row>
    <row r="203" spans="2:30">
      <c r="B203" s="80">
        <v>5.9</v>
      </c>
      <c r="C203" s="47">
        <v>3</v>
      </c>
      <c r="D203" s="47">
        <v>5.0999999999999996</v>
      </c>
      <c r="E203" s="47">
        <v>1.8</v>
      </c>
      <c r="F203" s="47" t="s">
        <v>2</v>
      </c>
      <c r="G203" s="47" t="s">
        <v>9</v>
      </c>
      <c r="H203" s="47" t="s">
        <v>9</v>
      </c>
      <c r="I203" s="47" t="s">
        <v>10</v>
      </c>
      <c r="J203" s="56" t="s">
        <v>10</v>
      </c>
      <c r="L203" s="29">
        <v>5.7</v>
      </c>
      <c r="M203" s="22">
        <v>2.9</v>
      </c>
      <c r="N203" s="22">
        <v>4.2</v>
      </c>
      <c r="O203" s="22">
        <v>1.3</v>
      </c>
      <c r="P203" s="22" t="s">
        <v>1</v>
      </c>
      <c r="Q203" s="18" t="s">
        <v>9</v>
      </c>
      <c r="R203" s="18" t="s">
        <v>8</v>
      </c>
      <c r="S203" s="18" t="s">
        <v>9</v>
      </c>
      <c r="T203" s="53" t="s">
        <v>9</v>
      </c>
      <c r="V203" s="31">
        <v>4.8</v>
      </c>
      <c r="W203" s="18">
        <v>3</v>
      </c>
      <c r="X203" s="18">
        <v>1.4</v>
      </c>
      <c r="Y203" s="18">
        <v>0.3</v>
      </c>
      <c r="Z203" s="18" t="s">
        <v>0</v>
      </c>
      <c r="AA203" s="18" t="s">
        <v>8</v>
      </c>
      <c r="AB203" s="18" t="s">
        <v>9</v>
      </c>
      <c r="AC203" s="18" t="s">
        <v>8</v>
      </c>
      <c r="AD203" s="53" t="s">
        <v>8</v>
      </c>
    </row>
    <row r="204" spans="2:30">
      <c r="B204" s="8"/>
      <c r="C204" s="8"/>
      <c r="D204" s="8"/>
      <c r="E204" s="8"/>
      <c r="F204" s="8"/>
      <c r="G204" s="8"/>
      <c r="H204" s="8"/>
      <c r="I204" s="8"/>
      <c r="J204" s="8"/>
      <c r="L204" s="31">
        <v>6.2</v>
      </c>
      <c r="M204" s="18">
        <v>2.9</v>
      </c>
      <c r="N204" s="18">
        <v>4.3</v>
      </c>
      <c r="O204" s="18">
        <v>1.3</v>
      </c>
      <c r="P204" s="18" t="s">
        <v>1</v>
      </c>
      <c r="Q204" s="18" t="s">
        <v>9</v>
      </c>
      <c r="R204" s="18" t="s">
        <v>8</v>
      </c>
      <c r="S204" s="18" t="s">
        <v>9</v>
      </c>
      <c r="T204" s="53" t="s">
        <v>9</v>
      </c>
      <c r="V204" s="29">
        <v>5.0999999999999996</v>
      </c>
      <c r="W204" s="22">
        <v>3.8</v>
      </c>
      <c r="X204" s="22">
        <v>1.6</v>
      </c>
      <c r="Y204" s="22">
        <v>0.2</v>
      </c>
      <c r="Z204" s="22" t="s">
        <v>0</v>
      </c>
      <c r="AA204" s="18" t="s">
        <v>8</v>
      </c>
      <c r="AB204" s="18" t="s">
        <v>10</v>
      </c>
      <c r="AC204" s="18" t="s">
        <v>8</v>
      </c>
      <c r="AD204" s="53" t="s">
        <v>8</v>
      </c>
    </row>
    <row r="205" spans="2:30">
      <c r="B205" s="8"/>
      <c r="C205" s="8"/>
      <c r="D205" s="8"/>
      <c r="E205" s="8"/>
      <c r="F205" s="8"/>
      <c r="G205" s="8"/>
      <c r="H205" s="8"/>
      <c r="I205" s="8"/>
      <c r="J205" s="8"/>
      <c r="L205" s="29">
        <v>5.0999999999999996</v>
      </c>
      <c r="M205" s="22">
        <v>2.5</v>
      </c>
      <c r="N205" s="22">
        <v>3</v>
      </c>
      <c r="O205" s="22">
        <v>1.1000000000000001</v>
      </c>
      <c r="P205" s="22" t="s">
        <v>1</v>
      </c>
      <c r="Q205" s="18" t="s">
        <v>8</v>
      </c>
      <c r="R205" s="18" t="s">
        <v>8</v>
      </c>
      <c r="S205" s="18" t="s">
        <v>9</v>
      </c>
      <c r="T205" s="53" t="s">
        <v>9</v>
      </c>
      <c r="V205" s="31">
        <v>4.5999999999999996</v>
      </c>
      <c r="W205" s="18">
        <v>3.2</v>
      </c>
      <c r="X205" s="18">
        <v>1.4</v>
      </c>
      <c r="Y205" s="18">
        <v>0.2</v>
      </c>
      <c r="Z205" s="18" t="s">
        <v>0</v>
      </c>
      <c r="AA205" s="18" t="s">
        <v>8</v>
      </c>
      <c r="AB205" s="18" t="s">
        <v>9</v>
      </c>
      <c r="AC205" s="18" t="s">
        <v>8</v>
      </c>
      <c r="AD205" s="53" t="s">
        <v>8</v>
      </c>
    </row>
    <row r="206" spans="2:30">
      <c r="B206" s="8"/>
      <c r="C206" s="8"/>
      <c r="D206" s="8"/>
      <c r="E206" s="8"/>
      <c r="F206" s="8"/>
      <c r="G206" s="8"/>
      <c r="H206" s="8"/>
      <c r="I206" s="8"/>
      <c r="J206" s="8"/>
      <c r="L206" s="31">
        <v>5.7</v>
      </c>
      <c r="M206" s="18">
        <v>2.8</v>
      </c>
      <c r="N206" s="18">
        <v>4.0999999999999996</v>
      </c>
      <c r="O206" s="18">
        <v>1.3</v>
      </c>
      <c r="P206" s="18" t="s">
        <v>1</v>
      </c>
      <c r="Q206" s="18" t="s">
        <v>9</v>
      </c>
      <c r="R206" s="18" t="s">
        <v>8</v>
      </c>
      <c r="S206" s="18" t="s">
        <v>9</v>
      </c>
      <c r="T206" s="53" t="s">
        <v>9</v>
      </c>
      <c r="V206" s="29">
        <v>5.3</v>
      </c>
      <c r="W206" s="22">
        <v>3.7</v>
      </c>
      <c r="X206" s="22">
        <v>1.5</v>
      </c>
      <c r="Y206" s="22">
        <v>0.2</v>
      </c>
      <c r="Z206" s="22" t="s">
        <v>0</v>
      </c>
      <c r="AA206" s="18" t="s">
        <v>8</v>
      </c>
      <c r="AB206" s="18" t="s">
        <v>10</v>
      </c>
      <c r="AC206" s="18" t="s">
        <v>8</v>
      </c>
      <c r="AD206" s="53" t="s">
        <v>8</v>
      </c>
    </row>
    <row r="207" spans="2:30">
      <c r="B207" s="8"/>
      <c r="C207" s="8"/>
      <c r="D207" s="8"/>
      <c r="E207" s="8"/>
      <c r="F207" s="8"/>
      <c r="G207" s="8"/>
      <c r="H207" s="8"/>
      <c r="I207" s="8"/>
      <c r="J207" s="8"/>
      <c r="L207" s="29">
        <v>4.9000000000000004</v>
      </c>
      <c r="M207" s="22">
        <v>2.5</v>
      </c>
      <c r="N207" s="22">
        <v>4.5</v>
      </c>
      <c r="O207" s="22">
        <v>1.7</v>
      </c>
      <c r="P207" s="22" t="s">
        <v>2</v>
      </c>
      <c r="Q207" s="23" t="s">
        <v>8</v>
      </c>
      <c r="R207" s="23" t="s">
        <v>8</v>
      </c>
      <c r="S207" s="18" t="s">
        <v>9</v>
      </c>
      <c r="T207" s="53" t="s">
        <v>9</v>
      </c>
      <c r="V207" s="80">
        <v>5</v>
      </c>
      <c r="W207" s="47">
        <v>3.3</v>
      </c>
      <c r="X207" s="47">
        <v>1.4</v>
      </c>
      <c r="Y207" s="47">
        <v>0.2</v>
      </c>
      <c r="Z207" s="47" t="s">
        <v>0</v>
      </c>
      <c r="AA207" s="47" t="s">
        <v>8</v>
      </c>
      <c r="AB207" s="47" t="s">
        <v>9</v>
      </c>
      <c r="AC207" s="47" t="s">
        <v>8</v>
      </c>
      <c r="AD207" s="56" t="s">
        <v>8</v>
      </c>
    </row>
    <row r="208" spans="2:30">
      <c r="B208" s="8"/>
      <c r="C208" s="8"/>
      <c r="D208" s="8"/>
      <c r="E208" s="8"/>
      <c r="F208" s="8"/>
      <c r="G208" s="8"/>
      <c r="H208" s="8"/>
      <c r="I208" s="8"/>
      <c r="J208" s="8"/>
      <c r="L208" s="29">
        <v>6</v>
      </c>
      <c r="M208" s="22">
        <v>2.2000000000000002</v>
      </c>
      <c r="N208" s="22">
        <v>5</v>
      </c>
      <c r="O208" s="22">
        <v>1.5</v>
      </c>
      <c r="P208" s="22" t="s">
        <v>2</v>
      </c>
      <c r="Q208" s="23" t="s">
        <v>9</v>
      </c>
      <c r="R208" s="23" t="s">
        <v>8</v>
      </c>
      <c r="S208" s="18" t="s">
        <v>10</v>
      </c>
      <c r="T208" s="53" t="s">
        <v>9</v>
      </c>
      <c r="V208" s="2"/>
      <c r="W208" s="2"/>
      <c r="X208" s="2"/>
      <c r="Y208" s="2"/>
      <c r="Z208" s="2"/>
      <c r="AA208" s="1"/>
      <c r="AB208" s="8"/>
      <c r="AC208" s="1"/>
      <c r="AD208" s="1"/>
    </row>
    <row r="209" spans="12:30">
      <c r="L209" s="29">
        <v>7.2</v>
      </c>
      <c r="M209" s="22">
        <v>3</v>
      </c>
      <c r="N209" s="22">
        <v>5.8</v>
      </c>
      <c r="O209" s="22">
        <v>1.6</v>
      </c>
      <c r="P209" s="22" t="s">
        <v>2</v>
      </c>
      <c r="Q209" s="23" t="s">
        <v>10</v>
      </c>
      <c r="R209" s="23" t="s">
        <v>9</v>
      </c>
      <c r="S209" s="18" t="s">
        <v>10</v>
      </c>
      <c r="T209" s="53" t="s">
        <v>9</v>
      </c>
      <c r="V209" s="2"/>
      <c r="W209" s="2"/>
      <c r="X209" s="2"/>
      <c r="Y209" s="2"/>
      <c r="Z209" s="2"/>
      <c r="AA209" s="1"/>
      <c r="AB209" s="8"/>
      <c r="AC209" s="1"/>
      <c r="AD209" s="1"/>
    </row>
    <row r="210" spans="12:30">
      <c r="L210" s="29">
        <v>6.3</v>
      </c>
      <c r="M210" s="22">
        <v>2.8</v>
      </c>
      <c r="N210" s="22">
        <v>5.0999999999999996</v>
      </c>
      <c r="O210" s="22">
        <v>1.5</v>
      </c>
      <c r="P210" s="22" t="s">
        <v>2</v>
      </c>
      <c r="Q210" s="23" t="s">
        <v>9</v>
      </c>
      <c r="R210" s="23" t="s">
        <v>8</v>
      </c>
      <c r="S210" s="18" t="s">
        <v>10</v>
      </c>
      <c r="T210" s="53" t="s">
        <v>9</v>
      </c>
      <c r="V210" s="2"/>
      <c r="W210" s="2"/>
      <c r="X210" s="2"/>
      <c r="Y210" s="2"/>
      <c r="Z210" s="2"/>
      <c r="AA210" s="1"/>
      <c r="AB210" s="8"/>
      <c r="AC210" s="1"/>
      <c r="AD210" s="1"/>
    </row>
    <row r="211" spans="12:30">
      <c r="L211" s="32">
        <v>6.1</v>
      </c>
      <c r="M211" s="33">
        <v>2.6</v>
      </c>
      <c r="N211" s="33">
        <v>5.6</v>
      </c>
      <c r="O211" s="33">
        <v>1.4</v>
      </c>
      <c r="P211" s="33" t="s">
        <v>2</v>
      </c>
      <c r="Q211" s="34" t="s">
        <v>9</v>
      </c>
      <c r="R211" s="34" t="s">
        <v>8</v>
      </c>
      <c r="S211" s="47" t="s">
        <v>10</v>
      </c>
      <c r="T211" s="56" t="s">
        <v>9</v>
      </c>
      <c r="V211" s="1"/>
      <c r="W211" s="1"/>
      <c r="X211" s="1"/>
      <c r="Y211" s="1"/>
      <c r="Z211" s="1"/>
      <c r="AA211" s="1"/>
      <c r="AB211" s="8"/>
      <c r="AC211" s="1"/>
      <c r="AD211" s="1"/>
    </row>
    <row r="212" spans="12:30">
      <c r="L212" s="8"/>
      <c r="M212" s="8"/>
      <c r="N212" s="8"/>
      <c r="O212" s="8"/>
      <c r="P212" s="8"/>
      <c r="Q212" s="8"/>
      <c r="R212" s="8"/>
      <c r="S212" s="8"/>
      <c r="T212" s="8"/>
      <c r="V212" s="2"/>
      <c r="W212" s="2"/>
      <c r="X212" s="2"/>
      <c r="Y212" s="2"/>
      <c r="Z212" s="2"/>
      <c r="AA212" s="1"/>
      <c r="AB212" s="8"/>
      <c r="AC212" s="1"/>
      <c r="AD212" s="1"/>
    </row>
    <row r="213" spans="12:30">
      <c r="L213" s="8"/>
      <c r="M213" s="8"/>
      <c r="N213" s="8"/>
      <c r="O213" s="8"/>
      <c r="P213" s="8"/>
      <c r="Q213" s="8"/>
      <c r="R213" s="8"/>
      <c r="S213" s="8"/>
      <c r="T213" s="8"/>
      <c r="V213" s="2"/>
      <c r="W213" s="2"/>
      <c r="X213" s="2"/>
      <c r="Y213" s="2"/>
      <c r="Z213" s="2"/>
      <c r="AA213" s="1"/>
      <c r="AB213" s="8"/>
      <c r="AC213" s="1"/>
      <c r="AD213" s="1"/>
    </row>
    <row r="214" spans="12:30">
      <c r="L214" s="8"/>
      <c r="M214" s="8"/>
      <c r="N214" s="8"/>
      <c r="O214" s="8"/>
      <c r="P214" s="8"/>
      <c r="Q214" s="8"/>
      <c r="R214" s="8"/>
      <c r="S214" s="8"/>
      <c r="T214" s="8"/>
      <c r="V214" s="2"/>
      <c r="W214" s="2"/>
      <c r="X214" s="2"/>
      <c r="Y214" s="2"/>
      <c r="Z214" s="2"/>
      <c r="AA214" s="1"/>
      <c r="AB214" s="8"/>
      <c r="AC214" s="1"/>
      <c r="AD214" s="1"/>
    </row>
    <row r="215" spans="12:30">
      <c r="L215" s="8"/>
      <c r="M215" s="8"/>
      <c r="N215" s="8"/>
      <c r="O215" s="8"/>
      <c r="P215" s="8"/>
      <c r="Q215" s="8"/>
      <c r="R215" s="8"/>
      <c r="S215" s="8"/>
      <c r="T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2:30">
      <c r="L216" s="8"/>
      <c r="M216" s="8"/>
      <c r="N216" s="8"/>
      <c r="O216" s="8"/>
      <c r="P216" s="8"/>
      <c r="Q216" s="8"/>
      <c r="R216" s="8"/>
      <c r="S216" s="8"/>
      <c r="T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2:30">
      <c r="L217" s="8"/>
      <c r="M217" s="8"/>
      <c r="N217" s="8"/>
      <c r="O217" s="8"/>
      <c r="P217" s="8"/>
      <c r="Q217" s="8"/>
      <c r="R217" s="8"/>
      <c r="S217" s="8"/>
      <c r="T217" s="8"/>
    </row>
    <row r="218" spans="12:30">
      <c r="L218" s="8"/>
      <c r="M218" s="8"/>
      <c r="N218" s="8"/>
      <c r="O218" s="8"/>
      <c r="P218" s="8"/>
      <c r="Q218" s="8"/>
      <c r="R218" s="8"/>
      <c r="S218" s="8"/>
      <c r="T218" s="8"/>
    </row>
    <row r="219" spans="12:30">
      <c r="L219" s="8"/>
      <c r="M219" s="8"/>
      <c r="N219" s="8"/>
      <c r="O219" s="8"/>
      <c r="P219" s="8"/>
      <c r="Q219" s="8"/>
      <c r="R219" s="8"/>
      <c r="S219" s="8"/>
      <c r="T219" s="8"/>
    </row>
    <row r="220" spans="12:30">
      <c r="L220" s="8"/>
      <c r="M220" s="8"/>
      <c r="N220" s="8"/>
      <c r="O220" s="8"/>
      <c r="P220" s="8"/>
      <c r="Q220" s="8"/>
      <c r="R220" s="8"/>
      <c r="S220" s="8"/>
      <c r="T220" s="8"/>
    </row>
    <row r="221" spans="12:30">
      <c r="L221" s="8"/>
      <c r="M221" s="8"/>
      <c r="N221" s="8"/>
      <c r="O221" s="8"/>
      <c r="P221" s="8"/>
      <c r="Q221" s="8"/>
      <c r="R221" s="8"/>
      <c r="S221" s="8"/>
      <c r="T221" s="8"/>
    </row>
    <row r="222" spans="12:30">
      <c r="L222" s="8"/>
      <c r="M222" s="8"/>
      <c r="N222" s="8"/>
      <c r="O222" s="8"/>
      <c r="P222" s="8"/>
      <c r="Q222" s="8"/>
      <c r="R222" s="8"/>
      <c r="S222" s="8"/>
      <c r="T222" s="8"/>
    </row>
    <row r="223" spans="12:30">
      <c r="L223" s="8"/>
      <c r="M223" s="8"/>
      <c r="N223" s="8"/>
      <c r="O223" s="8"/>
      <c r="P223" s="8"/>
      <c r="Q223" s="8"/>
      <c r="R223" s="8"/>
      <c r="S223" s="8"/>
      <c r="T223" s="8"/>
    </row>
    <row r="224" spans="12:30">
      <c r="L224" s="8"/>
      <c r="M224" s="8"/>
      <c r="N224" s="8"/>
      <c r="O224" s="8"/>
      <c r="P224" s="8"/>
      <c r="Q224" s="8"/>
      <c r="R224" s="8"/>
      <c r="S224" s="8"/>
      <c r="T224" s="8"/>
    </row>
    <row r="225" spans="12:20">
      <c r="L225" s="8"/>
      <c r="M225" s="8"/>
      <c r="N225" s="8"/>
      <c r="O225" s="8"/>
      <c r="P225" s="8"/>
      <c r="Q225" s="8"/>
      <c r="R225" s="8"/>
      <c r="S225" s="8"/>
      <c r="T225" s="8"/>
    </row>
    <row r="226" spans="12:20">
      <c r="L226" s="8"/>
      <c r="M226" s="8"/>
      <c r="N226" s="8"/>
      <c r="O226" s="8"/>
      <c r="P226" s="8"/>
      <c r="Q226" s="8"/>
      <c r="R226" s="8"/>
      <c r="S226" s="8"/>
      <c r="T226" s="8"/>
    </row>
    <row r="227" spans="12:20">
      <c r="L227" s="8"/>
      <c r="M227" s="8"/>
      <c r="N227" s="8"/>
      <c r="O227" s="8"/>
      <c r="P227" s="8"/>
      <c r="Q227" s="8"/>
      <c r="R227" s="8"/>
      <c r="S227" s="8"/>
      <c r="T227" s="8"/>
    </row>
    <row r="228" spans="12:20">
      <c r="L228" s="8"/>
      <c r="M228" s="8"/>
      <c r="N228" s="8"/>
      <c r="O228" s="8"/>
      <c r="P228" s="8"/>
      <c r="Q228" s="8"/>
      <c r="R228" s="8"/>
      <c r="S228" s="8"/>
      <c r="T228" s="8"/>
    </row>
    <row r="229" spans="12:20">
      <c r="L229" s="8"/>
      <c r="M229" s="8"/>
      <c r="N229" s="8"/>
      <c r="O229" s="8"/>
      <c r="P229" s="8"/>
      <c r="Q229" s="8"/>
      <c r="R229" s="8"/>
      <c r="S229" s="8"/>
      <c r="T229" s="8"/>
    </row>
    <row r="230" spans="12:20">
      <c r="L230" s="8"/>
      <c r="M230" s="8"/>
      <c r="N230" s="8"/>
      <c r="O230" s="8"/>
      <c r="P230" s="8"/>
      <c r="Q230" s="8"/>
      <c r="R230" s="8"/>
      <c r="S230" s="8"/>
      <c r="T230" s="8"/>
    </row>
    <row r="231" spans="12:20">
      <c r="L231" s="8"/>
      <c r="M231" s="8"/>
      <c r="N231" s="8"/>
      <c r="O231" s="8"/>
      <c r="P231" s="8"/>
      <c r="Q231" s="8"/>
      <c r="R231" s="8"/>
      <c r="S231" s="8"/>
      <c r="T231" s="8"/>
    </row>
  </sheetData>
  <pageMargins left="0.7" right="0.7" top="0.75" bottom="0.75" header="0.3" footer="0.3"/>
  <pageSetup paperSize="9" orientation="portrait" horizontalDpi="1200" verticalDpi="1200" r:id="rId1"/>
  <drawing r:id="rId2"/>
  <tableParts count="5"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F9841-EBD2-44FC-8C81-B3CD43629980}">
  <dimension ref="B2:AF95"/>
  <sheetViews>
    <sheetView workbookViewId="0">
      <selection activeCell="U56" sqref="U56"/>
    </sheetView>
  </sheetViews>
  <sheetFormatPr baseColWidth="10" defaultRowHeight="15"/>
  <cols>
    <col min="2" max="2" width="22" customWidth="1"/>
    <col min="3" max="3" width="17" customWidth="1"/>
    <col min="4" max="4" width="18.7109375" customWidth="1"/>
    <col min="5" max="5" width="16.85546875" customWidth="1"/>
    <col min="7" max="7" width="19.7109375" customWidth="1"/>
    <col min="8" max="8" width="18" customWidth="1"/>
    <col min="9" max="9" width="19.7109375" customWidth="1"/>
    <col min="10" max="10" width="17.85546875" customWidth="1"/>
    <col min="13" max="13" width="18.7109375" customWidth="1"/>
    <col min="14" max="14" width="17" customWidth="1"/>
    <col min="15" max="15" width="18.7109375" customWidth="1"/>
    <col min="16" max="16" width="16.85546875" customWidth="1"/>
    <col min="18" max="18" width="19.7109375" customWidth="1"/>
    <col min="19" max="19" width="18" customWidth="1"/>
    <col min="20" max="20" width="19.7109375" customWidth="1"/>
    <col min="21" max="21" width="17.85546875" customWidth="1"/>
    <col min="24" max="24" width="18.7109375" customWidth="1"/>
    <col min="25" max="25" width="17" customWidth="1"/>
    <col min="26" max="26" width="18.7109375" customWidth="1"/>
    <col min="27" max="27" width="16.85546875" customWidth="1"/>
    <col min="29" max="29" width="19.7109375" customWidth="1"/>
    <col min="30" max="30" width="18" customWidth="1"/>
    <col min="31" max="31" width="19.7109375" customWidth="1"/>
    <col min="32" max="32" width="17.85546875" customWidth="1"/>
  </cols>
  <sheetData>
    <row r="2" spans="2:10">
      <c r="B2" t="s">
        <v>28</v>
      </c>
      <c r="C2" t="s">
        <v>29</v>
      </c>
      <c r="D2" t="s">
        <v>30</v>
      </c>
      <c r="E2" t="s">
        <v>31</v>
      </c>
      <c r="F2" t="s">
        <v>24</v>
      </c>
      <c r="G2" t="s">
        <v>32</v>
      </c>
      <c r="H2" t="s">
        <v>33</v>
      </c>
      <c r="I2" t="s">
        <v>34</v>
      </c>
      <c r="J2" t="s">
        <v>35</v>
      </c>
    </row>
    <row r="3" spans="2:10">
      <c r="B3" s="2">
        <v>7</v>
      </c>
      <c r="C3" s="2">
        <v>3.2</v>
      </c>
      <c r="D3" s="2">
        <v>4.7</v>
      </c>
      <c r="E3" s="2">
        <v>1.4</v>
      </c>
      <c r="F3" s="2" t="s">
        <v>1</v>
      </c>
      <c r="G3" s="1" t="s">
        <v>10</v>
      </c>
      <c r="H3" s="1" t="s">
        <v>9</v>
      </c>
      <c r="I3" s="1" t="s">
        <v>9</v>
      </c>
      <c r="J3" s="7" t="s">
        <v>9</v>
      </c>
    </row>
    <row r="4" spans="2:10">
      <c r="B4" s="1">
        <v>6.4</v>
      </c>
      <c r="C4" s="1">
        <v>3.2</v>
      </c>
      <c r="D4" s="1">
        <v>4.5</v>
      </c>
      <c r="E4" s="1">
        <v>1.5</v>
      </c>
      <c r="F4" s="1" t="s">
        <v>1</v>
      </c>
      <c r="G4" s="1" t="s">
        <v>9</v>
      </c>
      <c r="H4" s="1" t="s">
        <v>9</v>
      </c>
      <c r="I4" s="1" t="s">
        <v>9</v>
      </c>
      <c r="J4" s="7" t="s">
        <v>9</v>
      </c>
    </row>
    <row r="5" spans="2:10">
      <c r="B5" s="2">
        <v>6.9</v>
      </c>
      <c r="C5" s="2">
        <v>3.1</v>
      </c>
      <c r="D5" s="2">
        <v>4.9000000000000004</v>
      </c>
      <c r="E5" s="2">
        <v>1.5</v>
      </c>
      <c r="F5" s="2" t="s">
        <v>1</v>
      </c>
      <c r="G5" s="1" t="s">
        <v>10</v>
      </c>
      <c r="H5" s="1" t="s">
        <v>9</v>
      </c>
      <c r="I5" s="1" t="s">
        <v>10</v>
      </c>
      <c r="J5" s="7" t="s">
        <v>9</v>
      </c>
    </row>
    <row r="6" spans="2:10">
      <c r="B6" s="1">
        <v>5.5</v>
      </c>
      <c r="C6" s="1">
        <v>2.2999999999999998</v>
      </c>
      <c r="D6" s="1">
        <v>4</v>
      </c>
      <c r="E6" s="1">
        <v>1.3</v>
      </c>
      <c r="F6" s="1" t="s">
        <v>1</v>
      </c>
      <c r="G6" s="1" t="s">
        <v>8</v>
      </c>
      <c r="H6" s="1" t="s">
        <v>8</v>
      </c>
      <c r="I6" s="1" t="s">
        <v>9</v>
      </c>
      <c r="J6" s="7" t="s">
        <v>9</v>
      </c>
    </row>
    <row r="7" spans="2:10">
      <c r="B7" s="2">
        <v>6.5</v>
      </c>
      <c r="C7" s="2">
        <v>2.8</v>
      </c>
      <c r="D7" s="2">
        <v>4.5999999999999996</v>
      </c>
      <c r="E7" s="2">
        <v>1.5</v>
      </c>
      <c r="F7" s="2" t="s">
        <v>1</v>
      </c>
      <c r="G7" s="1" t="s">
        <v>9</v>
      </c>
      <c r="H7" s="1" t="s">
        <v>8</v>
      </c>
      <c r="I7" s="1" t="s">
        <v>9</v>
      </c>
      <c r="J7" s="7" t="s">
        <v>9</v>
      </c>
    </row>
    <row r="8" spans="2:10">
      <c r="B8" s="1">
        <v>5.7</v>
      </c>
      <c r="C8" s="1">
        <v>2.8</v>
      </c>
      <c r="D8" s="1">
        <v>4.5</v>
      </c>
      <c r="E8" s="1">
        <v>1.3</v>
      </c>
      <c r="F8" s="1" t="s">
        <v>1</v>
      </c>
      <c r="G8" s="1" t="s">
        <v>9</v>
      </c>
      <c r="H8" s="1" t="s">
        <v>8</v>
      </c>
      <c r="I8" s="1" t="s">
        <v>9</v>
      </c>
      <c r="J8" s="7" t="s">
        <v>9</v>
      </c>
    </row>
    <row r="9" spans="2:10">
      <c r="B9" s="2">
        <v>6.3</v>
      </c>
      <c r="C9" s="2">
        <v>3.3</v>
      </c>
      <c r="D9" s="2">
        <v>4.7</v>
      </c>
      <c r="E9" s="2">
        <v>1.6</v>
      </c>
      <c r="F9" s="2" t="s">
        <v>1</v>
      </c>
      <c r="G9" s="1" t="s">
        <v>9</v>
      </c>
      <c r="H9" s="1" t="s">
        <v>9</v>
      </c>
      <c r="I9" s="1" t="s">
        <v>9</v>
      </c>
      <c r="J9" s="7" t="s">
        <v>9</v>
      </c>
    </row>
    <row r="10" spans="2:10">
      <c r="B10" s="1">
        <v>4.9000000000000004</v>
      </c>
      <c r="C10" s="1">
        <v>2.4</v>
      </c>
      <c r="D10" s="1">
        <v>3.3</v>
      </c>
      <c r="E10" s="1">
        <v>1</v>
      </c>
      <c r="F10" s="1" t="s">
        <v>1</v>
      </c>
      <c r="G10" s="1" t="s">
        <v>8</v>
      </c>
      <c r="H10" s="1" t="s">
        <v>8</v>
      </c>
      <c r="I10" s="1" t="s">
        <v>9</v>
      </c>
      <c r="J10" s="7" t="s">
        <v>9</v>
      </c>
    </row>
    <row r="11" spans="2:10">
      <c r="B11" s="2">
        <v>6.6</v>
      </c>
      <c r="C11" s="2">
        <v>2.9</v>
      </c>
      <c r="D11" s="2">
        <v>4.5999999999999996</v>
      </c>
      <c r="E11" s="2">
        <v>1.3</v>
      </c>
      <c r="F11" s="2" t="s">
        <v>1</v>
      </c>
      <c r="G11" s="1" t="s">
        <v>10</v>
      </c>
      <c r="H11" s="1" t="s">
        <v>8</v>
      </c>
      <c r="I11" s="1" t="s">
        <v>9</v>
      </c>
      <c r="J11" s="7" t="s">
        <v>9</v>
      </c>
    </row>
    <row r="12" spans="2:10">
      <c r="B12" s="1">
        <v>5.2</v>
      </c>
      <c r="C12" s="1">
        <v>2.7</v>
      </c>
      <c r="D12" s="1">
        <v>3.9</v>
      </c>
      <c r="E12" s="1">
        <v>1.4</v>
      </c>
      <c r="F12" s="1" t="s">
        <v>1</v>
      </c>
      <c r="G12" s="1" t="s">
        <v>8</v>
      </c>
      <c r="H12" s="1" t="s">
        <v>8</v>
      </c>
      <c r="I12" s="1" t="s">
        <v>9</v>
      </c>
      <c r="J12" s="7" t="s">
        <v>9</v>
      </c>
    </row>
    <row r="13" spans="2:10">
      <c r="B13" s="2">
        <v>5</v>
      </c>
      <c r="C13" s="2">
        <v>2</v>
      </c>
      <c r="D13" s="2">
        <v>3.5</v>
      </c>
      <c r="E13" s="2">
        <v>1</v>
      </c>
      <c r="F13" s="2" t="s">
        <v>1</v>
      </c>
      <c r="G13" s="1" t="s">
        <v>8</v>
      </c>
      <c r="H13" s="1" t="s">
        <v>8</v>
      </c>
      <c r="I13" s="1" t="s">
        <v>9</v>
      </c>
      <c r="J13" s="7" t="s">
        <v>9</v>
      </c>
    </row>
    <row r="14" spans="2:10">
      <c r="B14" s="1">
        <v>5.9</v>
      </c>
      <c r="C14" s="1">
        <v>3</v>
      </c>
      <c r="D14" s="1">
        <v>4.2</v>
      </c>
      <c r="E14" s="1">
        <v>1.5</v>
      </c>
      <c r="F14" s="1" t="s">
        <v>1</v>
      </c>
      <c r="G14" s="1" t="s">
        <v>9</v>
      </c>
      <c r="H14" s="1" t="s">
        <v>9</v>
      </c>
      <c r="I14" s="1" t="s">
        <v>9</v>
      </c>
      <c r="J14" s="7" t="s">
        <v>9</v>
      </c>
    </row>
    <row r="15" spans="2:10">
      <c r="B15" s="2">
        <v>6</v>
      </c>
      <c r="C15" s="2">
        <v>2.2000000000000002</v>
      </c>
      <c r="D15" s="2">
        <v>4</v>
      </c>
      <c r="E15" s="2">
        <v>1</v>
      </c>
      <c r="F15" s="2" t="s">
        <v>1</v>
      </c>
      <c r="G15" s="1" t="s">
        <v>9</v>
      </c>
      <c r="H15" s="1" t="s">
        <v>8</v>
      </c>
      <c r="I15" s="1" t="s">
        <v>9</v>
      </c>
      <c r="J15" s="7" t="s">
        <v>9</v>
      </c>
    </row>
    <row r="16" spans="2:10">
      <c r="B16" s="1">
        <v>6.1</v>
      </c>
      <c r="C16" s="1">
        <v>2.9</v>
      </c>
      <c r="D16" s="1">
        <v>4.7</v>
      </c>
      <c r="E16" s="1">
        <v>1.4</v>
      </c>
      <c r="F16" s="1" t="s">
        <v>1</v>
      </c>
      <c r="G16" s="1" t="s">
        <v>9</v>
      </c>
      <c r="H16" s="1" t="s">
        <v>8</v>
      </c>
      <c r="I16" s="1" t="s">
        <v>9</v>
      </c>
      <c r="J16" s="7" t="s">
        <v>9</v>
      </c>
    </row>
    <row r="17" spans="2:10">
      <c r="B17" s="2">
        <v>5.6</v>
      </c>
      <c r="C17" s="2">
        <v>2.9</v>
      </c>
      <c r="D17" s="2">
        <v>3.6</v>
      </c>
      <c r="E17" s="2">
        <v>1.3</v>
      </c>
      <c r="F17" s="2" t="s">
        <v>1</v>
      </c>
      <c r="G17" s="1" t="s">
        <v>9</v>
      </c>
      <c r="H17" s="1" t="s">
        <v>8</v>
      </c>
      <c r="I17" s="1" t="s">
        <v>9</v>
      </c>
      <c r="J17" s="7" t="s">
        <v>9</v>
      </c>
    </row>
    <row r="18" spans="2:10">
      <c r="B18" s="1">
        <v>6.7</v>
      </c>
      <c r="C18" s="1">
        <v>3.1</v>
      </c>
      <c r="D18" s="1">
        <v>4.4000000000000004</v>
      </c>
      <c r="E18" s="1">
        <v>1.4</v>
      </c>
      <c r="F18" s="1" t="s">
        <v>1</v>
      </c>
      <c r="G18" s="1" t="s">
        <v>10</v>
      </c>
      <c r="H18" s="1" t="s">
        <v>9</v>
      </c>
      <c r="I18" s="1" t="s">
        <v>9</v>
      </c>
      <c r="J18" s="7" t="s">
        <v>9</v>
      </c>
    </row>
    <row r="19" spans="2:10">
      <c r="B19" s="2">
        <v>5.6</v>
      </c>
      <c r="C19" s="2">
        <v>3</v>
      </c>
      <c r="D19" s="2">
        <v>4.5</v>
      </c>
      <c r="E19" s="2">
        <v>1.5</v>
      </c>
      <c r="F19" s="2" t="s">
        <v>1</v>
      </c>
      <c r="G19" s="1" t="s">
        <v>9</v>
      </c>
      <c r="H19" s="1" t="s">
        <v>9</v>
      </c>
      <c r="I19" s="1" t="s">
        <v>9</v>
      </c>
      <c r="J19" s="7" t="s">
        <v>9</v>
      </c>
    </row>
    <row r="20" spans="2:10">
      <c r="B20" s="1">
        <v>5.8</v>
      </c>
      <c r="C20" s="1">
        <v>2.7</v>
      </c>
      <c r="D20" s="1">
        <v>4.0999999999999996</v>
      </c>
      <c r="E20" s="1">
        <v>1</v>
      </c>
      <c r="F20" s="1" t="s">
        <v>1</v>
      </c>
      <c r="G20" s="1" t="s">
        <v>9</v>
      </c>
      <c r="H20" s="1" t="s">
        <v>8</v>
      </c>
      <c r="I20" s="1" t="s">
        <v>9</v>
      </c>
      <c r="J20" s="7" t="s">
        <v>9</v>
      </c>
    </row>
    <row r="21" spans="2:10">
      <c r="B21" s="2">
        <v>6.2</v>
      </c>
      <c r="C21" s="2">
        <v>2.2000000000000002</v>
      </c>
      <c r="D21" s="2">
        <v>4.5</v>
      </c>
      <c r="E21" s="2">
        <v>1.5</v>
      </c>
      <c r="F21" s="2" t="s">
        <v>1</v>
      </c>
      <c r="G21" s="1" t="s">
        <v>9</v>
      </c>
      <c r="H21" s="1" t="s">
        <v>8</v>
      </c>
      <c r="I21" s="1" t="s">
        <v>9</v>
      </c>
      <c r="J21" s="7" t="s">
        <v>9</v>
      </c>
    </row>
    <row r="22" spans="2:10">
      <c r="B22" s="1">
        <v>5.6</v>
      </c>
      <c r="C22" s="1">
        <v>2.5</v>
      </c>
      <c r="D22" s="1">
        <v>3.9</v>
      </c>
      <c r="E22" s="1">
        <v>1.1000000000000001</v>
      </c>
      <c r="F22" s="1" t="s">
        <v>1</v>
      </c>
      <c r="G22" s="1" t="s">
        <v>9</v>
      </c>
      <c r="H22" s="1" t="s">
        <v>8</v>
      </c>
      <c r="I22" s="1" t="s">
        <v>9</v>
      </c>
      <c r="J22" s="7" t="s">
        <v>9</v>
      </c>
    </row>
    <row r="23" spans="2:10">
      <c r="B23" s="1">
        <v>6.1</v>
      </c>
      <c r="C23" s="1">
        <v>2.8</v>
      </c>
      <c r="D23" s="1">
        <v>4</v>
      </c>
      <c r="E23" s="1">
        <v>1.3</v>
      </c>
      <c r="F23" s="1" t="s">
        <v>1</v>
      </c>
      <c r="G23" s="1" t="s">
        <v>9</v>
      </c>
      <c r="H23" s="1" t="s">
        <v>8</v>
      </c>
      <c r="I23" s="1" t="s">
        <v>9</v>
      </c>
      <c r="J23" s="7" t="s">
        <v>9</v>
      </c>
    </row>
    <row r="24" spans="2:10">
      <c r="B24" s="2">
        <v>6.3</v>
      </c>
      <c r="C24" s="2">
        <v>2.5</v>
      </c>
      <c r="D24" s="2">
        <v>4.9000000000000004</v>
      </c>
      <c r="E24" s="2">
        <v>1.5</v>
      </c>
      <c r="F24" s="2" t="s">
        <v>1</v>
      </c>
      <c r="G24" s="1" t="s">
        <v>9</v>
      </c>
      <c r="H24" s="1" t="s">
        <v>8</v>
      </c>
      <c r="I24" s="1" t="s">
        <v>10</v>
      </c>
      <c r="J24" s="7" t="s">
        <v>9</v>
      </c>
    </row>
    <row r="25" spans="2:10">
      <c r="B25" s="1">
        <v>6.1</v>
      </c>
      <c r="C25" s="1">
        <v>2.8</v>
      </c>
      <c r="D25" s="1">
        <v>4.7</v>
      </c>
      <c r="E25" s="1">
        <v>1.2</v>
      </c>
      <c r="F25" s="1" t="s">
        <v>1</v>
      </c>
      <c r="G25" s="1" t="s">
        <v>9</v>
      </c>
      <c r="H25" s="1" t="s">
        <v>8</v>
      </c>
      <c r="I25" s="1" t="s">
        <v>9</v>
      </c>
      <c r="J25" s="7" t="s">
        <v>9</v>
      </c>
    </row>
    <row r="26" spans="2:10">
      <c r="B26" s="2">
        <v>6.4</v>
      </c>
      <c r="C26" s="2">
        <v>2.9</v>
      </c>
      <c r="D26" s="2">
        <v>4.3</v>
      </c>
      <c r="E26" s="2">
        <v>1.3</v>
      </c>
      <c r="F26" s="2" t="s">
        <v>1</v>
      </c>
      <c r="G26" s="1" t="s">
        <v>9</v>
      </c>
      <c r="H26" s="1" t="s">
        <v>8</v>
      </c>
      <c r="I26" s="1" t="s">
        <v>9</v>
      </c>
      <c r="J26" s="7" t="s">
        <v>9</v>
      </c>
    </row>
    <row r="27" spans="2:10">
      <c r="B27" s="1">
        <v>6.6</v>
      </c>
      <c r="C27" s="1">
        <v>3</v>
      </c>
      <c r="D27" s="1">
        <v>4.4000000000000004</v>
      </c>
      <c r="E27" s="1">
        <v>1.4</v>
      </c>
      <c r="F27" s="1" t="s">
        <v>1</v>
      </c>
      <c r="G27" s="1" t="s">
        <v>10</v>
      </c>
      <c r="H27" s="1" t="s">
        <v>9</v>
      </c>
      <c r="I27" s="1" t="s">
        <v>9</v>
      </c>
      <c r="J27" s="7" t="s">
        <v>9</v>
      </c>
    </row>
    <row r="28" spans="2:10">
      <c r="B28" s="2">
        <v>6.8</v>
      </c>
      <c r="C28" s="2">
        <v>2.8</v>
      </c>
      <c r="D28" s="2">
        <v>4.8</v>
      </c>
      <c r="E28" s="2">
        <v>1.4</v>
      </c>
      <c r="F28" s="2" t="s">
        <v>1</v>
      </c>
      <c r="G28" s="1" t="s">
        <v>10</v>
      </c>
      <c r="H28" s="1" t="s">
        <v>8</v>
      </c>
      <c r="I28" s="1" t="s">
        <v>9</v>
      </c>
      <c r="J28" s="7" t="s">
        <v>9</v>
      </c>
    </row>
    <row r="29" spans="2:10">
      <c r="B29" s="1">
        <v>6.7</v>
      </c>
      <c r="C29" s="1">
        <v>3</v>
      </c>
      <c r="D29" s="1">
        <v>5</v>
      </c>
      <c r="E29" s="1">
        <v>1.7</v>
      </c>
      <c r="F29" s="1" t="s">
        <v>1</v>
      </c>
      <c r="G29" s="1" t="s">
        <v>10</v>
      </c>
      <c r="H29" s="1" t="s">
        <v>9</v>
      </c>
      <c r="I29" s="1" t="s">
        <v>10</v>
      </c>
      <c r="J29" s="7" t="s">
        <v>9</v>
      </c>
    </row>
    <row r="30" spans="2:10">
      <c r="B30" s="2">
        <v>6</v>
      </c>
      <c r="C30" s="2">
        <v>2.9</v>
      </c>
      <c r="D30" s="2">
        <v>4.5</v>
      </c>
      <c r="E30" s="2">
        <v>1.5</v>
      </c>
      <c r="F30" s="2" t="s">
        <v>1</v>
      </c>
      <c r="G30" s="1" t="s">
        <v>9</v>
      </c>
      <c r="H30" s="1" t="s">
        <v>8</v>
      </c>
      <c r="I30" s="1" t="s">
        <v>9</v>
      </c>
      <c r="J30" s="7" t="s">
        <v>9</v>
      </c>
    </row>
    <row r="31" spans="2:10">
      <c r="B31" s="1">
        <v>5.7</v>
      </c>
      <c r="C31" s="1">
        <v>2.6</v>
      </c>
      <c r="D31" s="1">
        <v>3.5</v>
      </c>
      <c r="E31" s="1">
        <v>1</v>
      </c>
      <c r="F31" s="1" t="s">
        <v>1</v>
      </c>
      <c r="G31" s="1" t="s">
        <v>9</v>
      </c>
      <c r="H31" s="1" t="s">
        <v>8</v>
      </c>
      <c r="I31" s="1" t="s">
        <v>9</v>
      </c>
      <c r="J31" s="7" t="s">
        <v>9</v>
      </c>
    </row>
    <row r="32" spans="2:10">
      <c r="B32" s="2">
        <v>5.5</v>
      </c>
      <c r="C32" s="2">
        <v>2.4</v>
      </c>
      <c r="D32" s="2">
        <v>3.8</v>
      </c>
      <c r="E32" s="2">
        <v>1.1000000000000001</v>
      </c>
      <c r="F32" s="2" t="s">
        <v>1</v>
      </c>
      <c r="G32" s="1" t="s">
        <v>8</v>
      </c>
      <c r="H32" s="1" t="s">
        <v>8</v>
      </c>
      <c r="I32" s="1" t="s">
        <v>9</v>
      </c>
      <c r="J32" s="7" t="s">
        <v>9</v>
      </c>
    </row>
    <row r="33" spans="2:10">
      <c r="B33" s="1">
        <v>5.5</v>
      </c>
      <c r="C33" s="1">
        <v>2.4</v>
      </c>
      <c r="D33" s="1">
        <v>3.7</v>
      </c>
      <c r="E33" s="1">
        <v>1</v>
      </c>
      <c r="F33" s="1" t="s">
        <v>1</v>
      </c>
      <c r="G33" s="1" t="s">
        <v>8</v>
      </c>
      <c r="H33" s="1" t="s">
        <v>8</v>
      </c>
      <c r="I33" s="1" t="s">
        <v>9</v>
      </c>
      <c r="J33" s="7" t="s">
        <v>9</v>
      </c>
    </row>
    <row r="34" spans="2:10">
      <c r="B34" s="2">
        <v>5.8</v>
      </c>
      <c r="C34" s="2">
        <v>2.7</v>
      </c>
      <c r="D34" s="2">
        <v>3.9</v>
      </c>
      <c r="E34" s="2">
        <v>1.2</v>
      </c>
      <c r="F34" s="2" t="s">
        <v>1</v>
      </c>
      <c r="G34" s="1" t="s">
        <v>9</v>
      </c>
      <c r="H34" s="1" t="s">
        <v>8</v>
      </c>
      <c r="I34" s="1" t="s">
        <v>9</v>
      </c>
      <c r="J34" s="7" t="s">
        <v>9</v>
      </c>
    </row>
    <row r="35" spans="2:10">
      <c r="B35" s="1">
        <v>6</v>
      </c>
      <c r="C35" s="1">
        <v>2.7</v>
      </c>
      <c r="D35" s="1">
        <v>5.0999999999999996</v>
      </c>
      <c r="E35" s="1">
        <v>1.6</v>
      </c>
      <c r="F35" s="1" t="s">
        <v>1</v>
      </c>
      <c r="G35" s="1" t="s">
        <v>9</v>
      </c>
      <c r="H35" s="1" t="s">
        <v>8</v>
      </c>
      <c r="I35" s="1" t="s">
        <v>10</v>
      </c>
      <c r="J35" s="7" t="s">
        <v>9</v>
      </c>
    </row>
    <row r="36" spans="2:10">
      <c r="B36" s="2">
        <v>5.4</v>
      </c>
      <c r="C36" s="2">
        <v>3</v>
      </c>
      <c r="D36" s="2">
        <v>4.5</v>
      </c>
      <c r="E36" s="2">
        <v>1.5</v>
      </c>
      <c r="F36" s="2" t="s">
        <v>1</v>
      </c>
      <c r="G36" s="1" t="s">
        <v>8</v>
      </c>
      <c r="H36" s="1" t="s">
        <v>9</v>
      </c>
      <c r="I36" s="1" t="s">
        <v>9</v>
      </c>
      <c r="J36" s="7" t="s">
        <v>9</v>
      </c>
    </row>
    <row r="37" spans="2:10">
      <c r="B37" s="1">
        <v>6</v>
      </c>
      <c r="C37" s="1">
        <v>3.4</v>
      </c>
      <c r="D37" s="1">
        <v>4.5</v>
      </c>
      <c r="E37" s="1">
        <v>1.6</v>
      </c>
      <c r="F37" s="1" t="s">
        <v>1</v>
      </c>
      <c r="G37" s="1" t="s">
        <v>9</v>
      </c>
      <c r="H37" s="1" t="s">
        <v>9</v>
      </c>
      <c r="I37" s="1" t="s">
        <v>9</v>
      </c>
      <c r="J37" s="7" t="s">
        <v>9</v>
      </c>
    </row>
    <row r="38" spans="2:10">
      <c r="B38" s="2">
        <v>6.7</v>
      </c>
      <c r="C38" s="2">
        <v>3.1</v>
      </c>
      <c r="D38" s="2">
        <v>4.7</v>
      </c>
      <c r="E38" s="2">
        <v>1.5</v>
      </c>
      <c r="F38" s="2" t="s">
        <v>1</v>
      </c>
      <c r="G38" s="1" t="s">
        <v>10</v>
      </c>
      <c r="H38" s="1" t="s">
        <v>9</v>
      </c>
      <c r="I38" s="1" t="s">
        <v>9</v>
      </c>
      <c r="J38" s="7" t="s">
        <v>9</v>
      </c>
    </row>
    <row r="39" spans="2:10">
      <c r="B39" s="1">
        <v>6.3</v>
      </c>
      <c r="C39" s="1">
        <v>2.2999999999999998</v>
      </c>
      <c r="D39" s="1">
        <v>4.4000000000000004</v>
      </c>
      <c r="E39" s="1">
        <v>1.3</v>
      </c>
      <c r="F39" s="1" t="s">
        <v>1</v>
      </c>
      <c r="G39" s="1" t="s">
        <v>9</v>
      </c>
      <c r="H39" s="1" t="s">
        <v>8</v>
      </c>
      <c r="I39" s="1" t="s">
        <v>9</v>
      </c>
      <c r="J39" s="7" t="s">
        <v>9</v>
      </c>
    </row>
    <row r="40" spans="2:10">
      <c r="B40" s="2">
        <v>5.6</v>
      </c>
      <c r="C40" s="2">
        <v>3</v>
      </c>
      <c r="D40" s="2">
        <v>4.0999999999999996</v>
      </c>
      <c r="E40" s="2">
        <v>1.3</v>
      </c>
      <c r="F40" s="2" t="s">
        <v>1</v>
      </c>
      <c r="G40" s="1" t="s">
        <v>9</v>
      </c>
      <c r="H40" s="1" t="s">
        <v>9</v>
      </c>
      <c r="I40" s="1" t="s">
        <v>9</v>
      </c>
      <c r="J40" s="7" t="s">
        <v>9</v>
      </c>
    </row>
    <row r="41" spans="2:10">
      <c r="B41" s="1">
        <v>5.5</v>
      </c>
      <c r="C41" s="1">
        <v>2.5</v>
      </c>
      <c r="D41" s="1">
        <v>4</v>
      </c>
      <c r="E41" s="1">
        <v>1.3</v>
      </c>
      <c r="F41" s="1" t="s">
        <v>1</v>
      </c>
      <c r="G41" s="1" t="s">
        <v>8</v>
      </c>
      <c r="H41" s="1" t="s">
        <v>8</v>
      </c>
      <c r="I41" s="1" t="s">
        <v>9</v>
      </c>
      <c r="J41" s="7" t="s">
        <v>9</v>
      </c>
    </row>
    <row r="42" spans="2:10">
      <c r="B42" s="2">
        <v>5.5</v>
      </c>
      <c r="C42" s="2">
        <v>2.6</v>
      </c>
      <c r="D42" s="2">
        <v>4.4000000000000004</v>
      </c>
      <c r="E42" s="2">
        <v>1.2</v>
      </c>
      <c r="F42" s="2" t="s">
        <v>1</v>
      </c>
      <c r="G42" s="1" t="s">
        <v>8</v>
      </c>
      <c r="H42" s="1" t="s">
        <v>8</v>
      </c>
      <c r="I42" s="1" t="s">
        <v>9</v>
      </c>
      <c r="J42" s="7" t="s">
        <v>9</v>
      </c>
    </row>
    <row r="43" spans="2:10">
      <c r="B43" s="1">
        <v>6.1</v>
      </c>
      <c r="C43" s="1">
        <v>3</v>
      </c>
      <c r="D43" s="1">
        <v>4.5999999999999996</v>
      </c>
      <c r="E43" s="1">
        <v>1.4</v>
      </c>
      <c r="F43" s="1" t="s">
        <v>1</v>
      </c>
      <c r="G43" s="1" t="s">
        <v>9</v>
      </c>
      <c r="H43" s="1" t="s">
        <v>9</v>
      </c>
      <c r="I43" s="1" t="s">
        <v>9</v>
      </c>
      <c r="J43" s="7" t="s">
        <v>9</v>
      </c>
    </row>
    <row r="44" spans="2:10">
      <c r="B44" s="2">
        <v>5.8</v>
      </c>
      <c r="C44" s="2">
        <v>2.6</v>
      </c>
      <c r="D44" s="2">
        <v>4</v>
      </c>
      <c r="E44" s="2">
        <v>1.2</v>
      </c>
      <c r="F44" s="2" t="s">
        <v>1</v>
      </c>
      <c r="G44" s="1" t="s">
        <v>9</v>
      </c>
      <c r="H44" s="1" t="s">
        <v>8</v>
      </c>
      <c r="I44" s="1" t="s">
        <v>9</v>
      </c>
      <c r="J44" s="7" t="s">
        <v>9</v>
      </c>
    </row>
    <row r="45" spans="2:10">
      <c r="B45" s="1">
        <v>5</v>
      </c>
      <c r="C45" s="1">
        <v>2.2999999999999998</v>
      </c>
      <c r="D45" s="1">
        <v>3.3</v>
      </c>
      <c r="E45" s="1">
        <v>1</v>
      </c>
      <c r="F45" s="1" t="s">
        <v>1</v>
      </c>
      <c r="G45" s="1" t="s">
        <v>8</v>
      </c>
      <c r="H45" s="1" t="s">
        <v>8</v>
      </c>
      <c r="I45" s="1" t="s">
        <v>9</v>
      </c>
      <c r="J45" s="7" t="s">
        <v>9</v>
      </c>
    </row>
    <row r="46" spans="2:10">
      <c r="B46" s="2">
        <v>5.6</v>
      </c>
      <c r="C46" s="2">
        <v>2.7</v>
      </c>
      <c r="D46" s="2">
        <v>4.2</v>
      </c>
      <c r="E46" s="2">
        <v>1.3</v>
      </c>
      <c r="F46" s="2" t="s">
        <v>1</v>
      </c>
      <c r="G46" s="1" t="s">
        <v>9</v>
      </c>
      <c r="H46" s="1" t="s">
        <v>8</v>
      </c>
      <c r="I46" s="1" t="s">
        <v>9</v>
      </c>
      <c r="J46" s="7" t="s">
        <v>9</v>
      </c>
    </row>
    <row r="47" spans="2:10">
      <c r="B47" s="1">
        <v>5.7</v>
      </c>
      <c r="C47" s="1">
        <v>3</v>
      </c>
      <c r="D47" s="1">
        <v>4.2</v>
      </c>
      <c r="E47" s="1">
        <v>1.2</v>
      </c>
      <c r="F47" s="1" t="s">
        <v>1</v>
      </c>
      <c r="G47" s="1" t="s">
        <v>9</v>
      </c>
      <c r="H47" s="1" t="s">
        <v>9</v>
      </c>
      <c r="I47" s="1" t="s">
        <v>9</v>
      </c>
      <c r="J47" s="7" t="s">
        <v>9</v>
      </c>
    </row>
    <row r="48" spans="2:10">
      <c r="B48" s="2">
        <v>5.7</v>
      </c>
      <c r="C48" s="2">
        <v>2.9</v>
      </c>
      <c r="D48" s="2">
        <v>4.2</v>
      </c>
      <c r="E48" s="2">
        <v>1.3</v>
      </c>
      <c r="F48" s="2" t="s">
        <v>1</v>
      </c>
      <c r="G48" s="1" t="s">
        <v>9</v>
      </c>
      <c r="H48" s="1" t="s">
        <v>8</v>
      </c>
      <c r="I48" s="1" t="s">
        <v>9</v>
      </c>
      <c r="J48" s="7" t="s">
        <v>9</v>
      </c>
    </row>
    <row r="49" spans="2:32">
      <c r="B49" s="1">
        <v>6.2</v>
      </c>
      <c r="C49" s="1">
        <v>2.9</v>
      </c>
      <c r="D49" s="1">
        <v>4.3</v>
      </c>
      <c r="E49" s="1">
        <v>1.3</v>
      </c>
      <c r="F49" s="1" t="s">
        <v>1</v>
      </c>
      <c r="G49" s="1" t="s">
        <v>9</v>
      </c>
      <c r="H49" s="1" t="s">
        <v>8</v>
      </c>
      <c r="I49" s="1" t="s">
        <v>9</v>
      </c>
      <c r="J49" s="7" t="s">
        <v>9</v>
      </c>
    </row>
    <row r="50" spans="2:32">
      <c r="B50" s="2">
        <v>5.0999999999999996</v>
      </c>
      <c r="C50" s="2">
        <v>2.5</v>
      </c>
      <c r="D50" s="2">
        <v>3</v>
      </c>
      <c r="E50" s="2">
        <v>1.1000000000000001</v>
      </c>
      <c r="F50" s="2" t="s">
        <v>1</v>
      </c>
      <c r="G50" s="1" t="s">
        <v>8</v>
      </c>
      <c r="H50" s="1" t="s">
        <v>8</v>
      </c>
      <c r="I50" s="1" t="s">
        <v>9</v>
      </c>
      <c r="J50" s="7" t="s">
        <v>9</v>
      </c>
    </row>
    <row r="51" spans="2:32">
      <c r="B51" s="1">
        <v>5.7</v>
      </c>
      <c r="C51" s="1">
        <v>2.8</v>
      </c>
      <c r="D51" s="1">
        <v>4.0999999999999996</v>
      </c>
      <c r="E51" s="1">
        <v>1.3</v>
      </c>
      <c r="F51" s="1" t="s">
        <v>1</v>
      </c>
      <c r="G51" s="1" t="s">
        <v>9</v>
      </c>
      <c r="H51" s="1" t="s">
        <v>8</v>
      </c>
      <c r="I51" s="1" t="s">
        <v>9</v>
      </c>
      <c r="J51" s="7" t="s">
        <v>9</v>
      </c>
    </row>
    <row r="52" spans="2:32">
      <c r="B52" s="3">
        <v>4.9000000000000004</v>
      </c>
      <c r="C52" s="3">
        <v>2.5</v>
      </c>
      <c r="D52" s="3">
        <v>4.5</v>
      </c>
      <c r="E52" s="3">
        <v>1.7</v>
      </c>
      <c r="F52" s="3" t="s">
        <v>2</v>
      </c>
      <c r="G52" s="9" t="s">
        <v>8</v>
      </c>
      <c r="H52" s="9" t="s">
        <v>8</v>
      </c>
      <c r="I52" s="4" t="s">
        <v>9</v>
      </c>
      <c r="J52" s="5" t="s">
        <v>9</v>
      </c>
    </row>
    <row r="53" spans="2:32">
      <c r="B53" s="3">
        <v>6</v>
      </c>
      <c r="C53" s="3">
        <v>2.2000000000000002</v>
      </c>
      <c r="D53" s="3">
        <v>5</v>
      </c>
      <c r="E53" s="3">
        <v>1.5</v>
      </c>
      <c r="F53" s="3" t="s">
        <v>2</v>
      </c>
      <c r="G53" s="9" t="s">
        <v>9</v>
      </c>
      <c r="H53" s="9" t="s">
        <v>8</v>
      </c>
      <c r="I53" s="4" t="s">
        <v>10</v>
      </c>
      <c r="J53" s="5" t="s">
        <v>9</v>
      </c>
    </row>
    <row r="54" spans="2:32">
      <c r="B54" s="3">
        <v>7.2</v>
      </c>
      <c r="C54" s="3">
        <v>3</v>
      </c>
      <c r="D54" s="3">
        <v>5.8</v>
      </c>
      <c r="E54" s="3">
        <v>1.6</v>
      </c>
      <c r="F54" s="3" t="s">
        <v>2</v>
      </c>
      <c r="G54" s="9" t="s">
        <v>10</v>
      </c>
      <c r="H54" s="9" t="s">
        <v>9</v>
      </c>
      <c r="I54" s="4" t="s">
        <v>10</v>
      </c>
      <c r="J54" s="5" t="s">
        <v>9</v>
      </c>
    </row>
    <row r="55" spans="2:32">
      <c r="B55" s="3">
        <v>6.3</v>
      </c>
      <c r="C55" s="3">
        <v>2.8</v>
      </c>
      <c r="D55" s="3">
        <v>5.0999999999999996</v>
      </c>
      <c r="E55" s="3">
        <v>1.5</v>
      </c>
      <c r="F55" s="3" t="s">
        <v>2</v>
      </c>
      <c r="G55" s="9" t="s">
        <v>9</v>
      </c>
      <c r="H55" s="9" t="s">
        <v>8</v>
      </c>
      <c r="I55" s="4" t="s">
        <v>10</v>
      </c>
      <c r="J55" s="5" t="s">
        <v>9</v>
      </c>
    </row>
    <row r="56" spans="2:32">
      <c r="B56" s="2">
        <v>6.1</v>
      </c>
      <c r="C56" s="2">
        <v>2.6</v>
      </c>
      <c r="D56" s="2">
        <v>5.6</v>
      </c>
      <c r="E56" s="2">
        <v>1.4</v>
      </c>
      <c r="F56" s="2" t="s">
        <v>2</v>
      </c>
      <c r="G56" s="9" t="s">
        <v>9</v>
      </c>
      <c r="H56" s="9" t="s">
        <v>8</v>
      </c>
      <c r="I56" s="4" t="s">
        <v>10</v>
      </c>
      <c r="J56" s="7" t="s">
        <v>9</v>
      </c>
    </row>
    <row r="59" spans="2:32">
      <c r="D59" s="14" t="s">
        <v>15</v>
      </c>
      <c r="E59" s="12">
        <v>0.44500000000000001</v>
      </c>
      <c r="G59" s="15" t="s">
        <v>19</v>
      </c>
      <c r="H59" s="13">
        <v>1E-3</v>
      </c>
    </row>
    <row r="61" spans="2:32">
      <c r="B61" s="24" t="s">
        <v>16</v>
      </c>
      <c r="C61" s="25">
        <v>0.503</v>
      </c>
      <c r="M61" s="24" t="s">
        <v>17</v>
      </c>
      <c r="N61" s="25">
        <v>0.439</v>
      </c>
      <c r="X61" s="24" t="s">
        <v>18</v>
      </c>
      <c r="Y61" s="25">
        <v>0.41299999999999998</v>
      </c>
    </row>
    <row r="62" spans="2:32">
      <c r="B62" s="81" t="s">
        <v>3</v>
      </c>
      <c r="C62" s="82" t="s">
        <v>4</v>
      </c>
      <c r="D62" s="82" t="s">
        <v>5</v>
      </c>
      <c r="E62" s="82" t="s">
        <v>6</v>
      </c>
      <c r="F62" s="82" t="s">
        <v>7</v>
      </c>
      <c r="G62" s="82" t="s">
        <v>11</v>
      </c>
      <c r="H62" s="82" t="s">
        <v>12</v>
      </c>
      <c r="I62" s="82" t="s">
        <v>13</v>
      </c>
      <c r="J62" s="83" t="s">
        <v>14</v>
      </c>
      <c r="M62" s="26" t="s">
        <v>28</v>
      </c>
      <c r="N62" s="27" t="s">
        <v>29</v>
      </c>
      <c r="O62" s="27" t="s">
        <v>30</v>
      </c>
      <c r="P62" s="27" t="s">
        <v>31</v>
      </c>
      <c r="Q62" s="27" t="s">
        <v>24</v>
      </c>
      <c r="R62" s="27" t="s">
        <v>38</v>
      </c>
      <c r="S62" s="27" t="s">
        <v>33</v>
      </c>
      <c r="T62" s="27" t="s">
        <v>34</v>
      </c>
      <c r="U62" s="28" t="s">
        <v>35</v>
      </c>
      <c r="X62" s="26" t="s">
        <v>28</v>
      </c>
      <c r="Y62" s="27" t="s">
        <v>29</v>
      </c>
      <c r="Z62" s="27" t="s">
        <v>30</v>
      </c>
      <c r="AA62" s="27" t="s">
        <v>31</v>
      </c>
      <c r="AB62" s="27" t="s">
        <v>24</v>
      </c>
      <c r="AC62" s="27" t="s">
        <v>37</v>
      </c>
      <c r="AD62" s="27" t="s">
        <v>33</v>
      </c>
      <c r="AE62" s="27" t="s">
        <v>34</v>
      </c>
      <c r="AF62" s="28" t="s">
        <v>35</v>
      </c>
    </row>
    <row r="63" spans="2:32">
      <c r="B63" s="29">
        <v>7</v>
      </c>
      <c r="C63" s="22">
        <v>3.2</v>
      </c>
      <c r="D63" s="22">
        <v>4.7</v>
      </c>
      <c r="E63" s="22">
        <v>1.4</v>
      </c>
      <c r="F63" s="22" t="s">
        <v>1</v>
      </c>
      <c r="G63" s="61" t="s">
        <v>10</v>
      </c>
      <c r="H63" s="18" t="s">
        <v>9</v>
      </c>
      <c r="I63" s="18" t="s">
        <v>9</v>
      </c>
      <c r="J63" s="30" t="s">
        <v>9</v>
      </c>
      <c r="M63" s="31">
        <v>6.4</v>
      </c>
      <c r="N63" s="18">
        <v>3.2</v>
      </c>
      <c r="O63" s="18">
        <v>4.5</v>
      </c>
      <c r="P63" s="18">
        <v>1.5</v>
      </c>
      <c r="Q63" s="18" t="s">
        <v>1</v>
      </c>
      <c r="R63" s="61" t="s">
        <v>9</v>
      </c>
      <c r="S63" s="18" t="s">
        <v>9</v>
      </c>
      <c r="T63" s="18" t="s">
        <v>9</v>
      </c>
      <c r="U63" s="30" t="s">
        <v>9</v>
      </c>
      <c r="X63" s="31">
        <v>5.5</v>
      </c>
      <c r="Y63" s="18">
        <v>2.2999999999999998</v>
      </c>
      <c r="Z63" s="18">
        <v>4</v>
      </c>
      <c r="AA63" s="18">
        <v>1.3</v>
      </c>
      <c r="AB63" s="18" t="s">
        <v>1</v>
      </c>
      <c r="AC63" s="61" t="s">
        <v>8</v>
      </c>
      <c r="AD63" s="18" t="s">
        <v>8</v>
      </c>
      <c r="AE63" s="18" t="s">
        <v>9</v>
      </c>
      <c r="AF63" s="30" t="s">
        <v>9</v>
      </c>
    </row>
    <row r="64" spans="2:32">
      <c r="B64" s="29">
        <v>6.9</v>
      </c>
      <c r="C64" s="22">
        <v>3.1</v>
      </c>
      <c r="D64" s="22">
        <v>4.9000000000000004</v>
      </c>
      <c r="E64" s="22">
        <v>1.5</v>
      </c>
      <c r="F64" s="22" t="s">
        <v>1</v>
      </c>
      <c r="G64" s="61" t="s">
        <v>10</v>
      </c>
      <c r="H64" s="18" t="s">
        <v>9</v>
      </c>
      <c r="I64" s="18" t="s">
        <v>10</v>
      </c>
      <c r="J64" s="30" t="s">
        <v>9</v>
      </c>
      <c r="M64" s="29">
        <v>6.5</v>
      </c>
      <c r="N64" s="22">
        <v>2.8</v>
      </c>
      <c r="O64" s="22">
        <v>4.5999999999999996</v>
      </c>
      <c r="P64" s="22">
        <v>1.5</v>
      </c>
      <c r="Q64" s="22" t="s">
        <v>1</v>
      </c>
      <c r="R64" s="61" t="s">
        <v>9</v>
      </c>
      <c r="S64" s="18" t="s">
        <v>8</v>
      </c>
      <c r="T64" s="18" t="s">
        <v>9</v>
      </c>
      <c r="U64" s="30" t="s">
        <v>9</v>
      </c>
      <c r="X64" s="31">
        <v>4.9000000000000004</v>
      </c>
      <c r="Y64" s="18">
        <v>2.4</v>
      </c>
      <c r="Z64" s="18">
        <v>3.3</v>
      </c>
      <c r="AA64" s="18">
        <v>1</v>
      </c>
      <c r="AB64" s="18" t="s">
        <v>1</v>
      </c>
      <c r="AC64" s="61" t="s">
        <v>8</v>
      </c>
      <c r="AD64" s="18" t="s">
        <v>8</v>
      </c>
      <c r="AE64" s="18" t="s">
        <v>9</v>
      </c>
      <c r="AF64" s="30" t="s">
        <v>9</v>
      </c>
    </row>
    <row r="65" spans="2:32">
      <c r="B65" s="29">
        <v>6.6</v>
      </c>
      <c r="C65" s="22">
        <v>2.9</v>
      </c>
      <c r="D65" s="22">
        <v>4.5999999999999996</v>
      </c>
      <c r="E65" s="22">
        <v>1.3</v>
      </c>
      <c r="F65" s="22" t="s">
        <v>1</v>
      </c>
      <c r="G65" s="61" t="s">
        <v>10</v>
      </c>
      <c r="H65" s="18" t="s">
        <v>8</v>
      </c>
      <c r="I65" s="18" t="s">
        <v>9</v>
      </c>
      <c r="J65" s="30" t="s">
        <v>9</v>
      </c>
      <c r="M65" s="31">
        <v>5.7</v>
      </c>
      <c r="N65" s="18">
        <v>2.8</v>
      </c>
      <c r="O65" s="18">
        <v>4.5</v>
      </c>
      <c r="P65" s="18">
        <v>1.3</v>
      </c>
      <c r="Q65" s="18" t="s">
        <v>1</v>
      </c>
      <c r="R65" s="61" t="s">
        <v>9</v>
      </c>
      <c r="S65" s="18" t="s">
        <v>8</v>
      </c>
      <c r="T65" s="18" t="s">
        <v>9</v>
      </c>
      <c r="U65" s="30" t="s">
        <v>9</v>
      </c>
      <c r="X65" s="31">
        <v>5.2</v>
      </c>
      <c r="Y65" s="18">
        <v>2.7</v>
      </c>
      <c r="Z65" s="18">
        <v>3.9</v>
      </c>
      <c r="AA65" s="18">
        <v>1.4</v>
      </c>
      <c r="AB65" s="18" t="s">
        <v>1</v>
      </c>
      <c r="AC65" s="61" t="s">
        <v>8</v>
      </c>
      <c r="AD65" s="18" t="s">
        <v>8</v>
      </c>
      <c r="AE65" s="18" t="s">
        <v>9</v>
      </c>
      <c r="AF65" s="30" t="s">
        <v>9</v>
      </c>
    </row>
    <row r="66" spans="2:32">
      <c r="B66" s="31">
        <v>6.7</v>
      </c>
      <c r="C66" s="18">
        <v>3.1</v>
      </c>
      <c r="D66" s="18">
        <v>4.4000000000000004</v>
      </c>
      <c r="E66" s="18">
        <v>1.4</v>
      </c>
      <c r="F66" s="18" t="s">
        <v>1</v>
      </c>
      <c r="G66" s="61" t="s">
        <v>10</v>
      </c>
      <c r="H66" s="18" t="s">
        <v>9</v>
      </c>
      <c r="I66" s="18" t="s">
        <v>9</v>
      </c>
      <c r="J66" s="30" t="s">
        <v>9</v>
      </c>
      <c r="M66" s="29">
        <v>6.3</v>
      </c>
      <c r="N66" s="22">
        <v>3.3</v>
      </c>
      <c r="O66" s="22">
        <v>4.7</v>
      </c>
      <c r="P66" s="22">
        <v>1.6</v>
      </c>
      <c r="Q66" s="22" t="s">
        <v>1</v>
      </c>
      <c r="R66" s="61" t="s">
        <v>9</v>
      </c>
      <c r="S66" s="18" t="s">
        <v>9</v>
      </c>
      <c r="T66" s="18" t="s">
        <v>9</v>
      </c>
      <c r="U66" s="30" t="s">
        <v>9</v>
      </c>
      <c r="X66" s="29">
        <v>5</v>
      </c>
      <c r="Y66" s="22">
        <v>2</v>
      </c>
      <c r="Z66" s="22">
        <v>3.5</v>
      </c>
      <c r="AA66" s="22">
        <v>1</v>
      </c>
      <c r="AB66" s="22" t="s">
        <v>1</v>
      </c>
      <c r="AC66" s="61" t="s">
        <v>8</v>
      </c>
      <c r="AD66" s="18" t="s">
        <v>8</v>
      </c>
      <c r="AE66" s="18" t="s">
        <v>9</v>
      </c>
      <c r="AF66" s="30" t="s">
        <v>9</v>
      </c>
    </row>
    <row r="67" spans="2:32">
      <c r="B67" s="31">
        <v>6.6</v>
      </c>
      <c r="C67" s="18">
        <v>3</v>
      </c>
      <c r="D67" s="18">
        <v>4.4000000000000004</v>
      </c>
      <c r="E67" s="18">
        <v>1.4</v>
      </c>
      <c r="F67" s="18" t="s">
        <v>1</v>
      </c>
      <c r="G67" s="61" t="s">
        <v>10</v>
      </c>
      <c r="H67" s="18" t="s">
        <v>9</v>
      </c>
      <c r="I67" s="18" t="s">
        <v>9</v>
      </c>
      <c r="J67" s="30" t="s">
        <v>9</v>
      </c>
      <c r="M67" s="31">
        <v>5.9</v>
      </c>
      <c r="N67" s="18">
        <v>3</v>
      </c>
      <c r="O67" s="18">
        <v>4.2</v>
      </c>
      <c r="P67" s="18">
        <v>1.5</v>
      </c>
      <c r="Q67" s="18" t="s">
        <v>1</v>
      </c>
      <c r="R67" s="61" t="s">
        <v>9</v>
      </c>
      <c r="S67" s="18" t="s">
        <v>9</v>
      </c>
      <c r="T67" s="18" t="s">
        <v>9</v>
      </c>
      <c r="U67" s="30" t="s">
        <v>9</v>
      </c>
      <c r="X67" s="29">
        <v>5.5</v>
      </c>
      <c r="Y67" s="22">
        <v>2.4</v>
      </c>
      <c r="Z67" s="22">
        <v>3.8</v>
      </c>
      <c r="AA67" s="22">
        <v>1.1000000000000001</v>
      </c>
      <c r="AB67" s="22" t="s">
        <v>1</v>
      </c>
      <c r="AC67" s="61" t="s">
        <v>8</v>
      </c>
      <c r="AD67" s="18" t="s">
        <v>8</v>
      </c>
      <c r="AE67" s="18" t="s">
        <v>9</v>
      </c>
      <c r="AF67" s="30" t="s">
        <v>9</v>
      </c>
    </row>
    <row r="68" spans="2:32">
      <c r="B68" s="29">
        <v>6.8</v>
      </c>
      <c r="C68" s="22">
        <v>2.8</v>
      </c>
      <c r="D68" s="22">
        <v>4.8</v>
      </c>
      <c r="E68" s="22">
        <v>1.4</v>
      </c>
      <c r="F68" s="22" t="s">
        <v>1</v>
      </c>
      <c r="G68" s="61" t="s">
        <v>10</v>
      </c>
      <c r="H68" s="18" t="s">
        <v>8</v>
      </c>
      <c r="I68" s="18" t="s">
        <v>9</v>
      </c>
      <c r="J68" s="30" t="s">
        <v>9</v>
      </c>
      <c r="M68" s="29">
        <v>6</v>
      </c>
      <c r="N68" s="22">
        <v>2.2000000000000002</v>
      </c>
      <c r="O68" s="22">
        <v>4</v>
      </c>
      <c r="P68" s="22">
        <v>1</v>
      </c>
      <c r="Q68" s="22" t="s">
        <v>1</v>
      </c>
      <c r="R68" s="61" t="s">
        <v>9</v>
      </c>
      <c r="S68" s="18" t="s">
        <v>8</v>
      </c>
      <c r="T68" s="18" t="s">
        <v>9</v>
      </c>
      <c r="U68" s="30" t="s">
        <v>9</v>
      </c>
      <c r="X68" s="31">
        <v>5.5</v>
      </c>
      <c r="Y68" s="18">
        <v>2.4</v>
      </c>
      <c r="Z68" s="18">
        <v>3.7</v>
      </c>
      <c r="AA68" s="18">
        <v>1</v>
      </c>
      <c r="AB68" s="18" t="s">
        <v>1</v>
      </c>
      <c r="AC68" s="61" t="s">
        <v>8</v>
      </c>
      <c r="AD68" s="18" t="s">
        <v>8</v>
      </c>
      <c r="AE68" s="18" t="s">
        <v>9</v>
      </c>
      <c r="AF68" s="30" t="s">
        <v>9</v>
      </c>
    </row>
    <row r="69" spans="2:32">
      <c r="B69" s="31">
        <v>6.7</v>
      </c>
      <c r="C69" s="18">
        <v>3</v>
      </c>
      <c r="D69" s="18">
        <v>5</v>
      </c>
      <c r="E69" s="18">
        <v>1.7</v>
      </c>
      <c r="F69" s="18" t="s">
        <v>1</v>
      </c>
      <c r="G69" s="61" t="s">
        <v>10</v>
      </c>
      <c r="H69" s="18" t="s">
        <v>9</v>
      </c>
      <c r="I69" s="18" t="s">
        <v>10</v>
      </c>
      <c r="J69" s="30" t="s">
        <v>9</v>
      </c>
      <c r="M69" s="31">
        <v>6.1</v>
      </c>
      <c r="N69" s="18">
        <v>2.9</v>
      </c>
      <c r="O69" s="18">
        <v>4.7</v>
      </c>
      <c r="P69" s="18">
        <v>1.4</v>
      </c>
      <c r="Q69" s="18" t="s">
        <v>1</v>
      </c>
      <c r="R69" s="61" t="s">
        <v>9</v>
      </c>
      <c r="S69" s="18" t="s">
        <v>8</v>
      </c>
      <c r="T69" s="18" t="s">
        <v>9</v>
      </c>
      <c r="U69" s="30" t="s">
        <v>9</v>
      </c>
      <c r="X69" s="29">
        <v>5.4</v>
      </c>
      <c r="Y69" s="22">
        <v>3</v>
      </c>
      <c r="Z69" s="22">
        <v>4.5</v>
      </c>
      <c r="AA69" s="22">
        <v>1.5</v>
      </c>
      <c r="AB69" s="22" t="s">
        <v>1</v>
      </c>
      <c r="AC69" s="61" t="s">
        <v>8</v>
      </c>
      <c r="AD69" s="18" t="s">
        <v>9</v>
      </c>
      <c r="AE69" s="18" t="s">
        <v>9</v>
      </c>
      <c r="AF69" s="30" t="s">
        <v>9</v>
      </c>
    </row>
    <row r="70" spans="2:32">
      <c r="B70" s="29">
        <v>6.7</v>
      </c>
      <c r="C70" s="22">
        <v>3.1</v>
      </c>
      <c r="D70" s="22">
        <v>4.7</v>
      </c>
      <c r="E70" s="22">
        <v>1.5</v>
      </c>
      <c r="F70" s="22" t="s">
        <v>1</v>
      </c>
      <c r="G70" s="61" t="s">
        <v>10</v>
      </c>
      <c r="H70" s="18" t="s">
        <v>9</v>
      </c>
      <c r="I70" s="18" t="s">
        <v>9</v>
      </c>
      <c r="J70" s="30" t="s">
        <v>9</v>
      </c>
      <c r="M70" s="29">
        <v>5.6</v>
      </c>
      <c r="N70" s="22">
        <v>2.9</v>
      </c>
      <c r="O70" s="22">
        <v>3.6</v>
      </c>
      <c r="P70" s="22">
        <v>1.3</v>
      </c>
      <c r="Q70" s="22" t="s">
        <v>1</v>
      </c>
      <c r="R70" s="61" t="s">
        <v>9</v>
      </c>
      <c r="S70" s="18" t="s">
        <v>8</v>
      </c>
      <c r="T70" s="18" t="s">
        <v>9</v>
      </c>
      <c r="U70" s="30" t="s">
        <v>9</v>
      </c>
      <c r="X70" s="31">
        <v>5.5</v>
      </c>
      <c r="Y70" s="18">
        <v>2.5</v>
      </c>
      <c r="Z70" s="18">
        <v>4</v>
      </c>
      <c r="AA70" s="18">
        <v>1.3</v>
      </c>
      <c r="AB70" s="18" t="s">
        <v>1</v>
      </c>
      <c r="AC70" s="61" t="s">
        <v>8</v>
      </c>
      <c r="AD70" s="18" t="s">
        <v>8</v>
      </c>
      <c r="AE70" s="18" t="s">
        <v>9</v>
      </c>
      <c r="AF70" s="30" t="s">
        <v>9</v>
      </c>
    </row>
    <row r="71" spans="2:32">
      <c r="B71" s="32">
        <v>7.2</v>
      </c>
      <c r="C71" s="33">
        <v>3</v>
      </c>
      <c r="D71" s="33">
        <v>5.8</v>
      </c>
      <c r="E71" s="33">
        <v>1.6</v>
      </c>
      <c r="F71" s="33" t="s">
        <v>2</v>
      </c>
      <c r="G71" s="63" t="s">
        <v>10</v>
      </c>
      <c r="H71" s="34" t="s">
        <v>9</v>
      </c>
      <c r="I71" s="47" t="s">
        <v>10</v>
      </c>
      <c r="J71" s="37" t="s">
        <v>9</v>
      </c>
      <c r="M71" s="29">
        <v>5.6</v>
      </c>
      <c r="N71" s="22">
        <v>3</v>
      </c>
      <c r="O71" s="22">
        <v>4.5</v>
      </c>
      <c r="P71" s="22">
        <v>1.5</v>
      </c>
      <c r="Q71" s="22" t="s">
        <v>1</v>
      </c>
      <c r="R71" s="61" t="s">
        <v>9</v>
      </c>
      <c r="S71" s="18" t="s">
        <v>9</v>
      </c>
      <c r="T71" s="18" t="s">
        <v>9</v>
      </c>
      <c r="U71" s="30" t="s">
        <v>9</v>
      </c>
      <c r="X71" s="29">
        <v>5.5</v>
      </c>
      <c r="Y71" s="22">
        <v>2.6</v>
      </c>
      <c r="Z71" s="22">
        <v>4.4000000000000004</v>
      </c>
      <c r="AA71" s="22">
        <v>1.2</v>
      </c>
      <c r="AB71" s="22" t="s">
        <v>1</v>
      </c>
      <c r="AC71" s="61" t="s">
        <v>8</v>
      </c>
      <c r="AD71" s="18" t="s">
        <v>8</v>
      </c>
      <c r="AE71" s="18" t="s">
        <v>9</v>
      </c>
      <c r="AF71" s="30" t="s">
        <v>9</v>
      </c>
    </row>
    <row r="72" spans="2:32">
      <c r="M72" s="31">
        <v>5.8</v>
      </c>
      <c r="N72" s="18">
        <v>2.7</v>
      </c>
      <c r="O72" s="18">
        <v>4.0999999999999996</v>
      </c>
      <c r="P72" s="18">
        <v>1</v>
      </c>
      <c r="Q72" s="18" t="s">
        <v>1</v>
      </c>
      <c r="R72" s="61" t="s">
        <v>9</v>
      </c>
      <c r="S72" s="18" t="s">
        <v>8</v>
      </c>
      <c r="T72" s="18" t="s">
        <v>9</v>
      </c>
      <c r="U72" s="30" t="s">
        <v>9</v>
      </c>
      <c r="X72" s="31">
        <v>5</v>
      </c>
      <c r="Y72" s="18">
        <v>2.2999999999999998</v>
      </c>
      <c r="Z72" s="18">
        <v>3.3</v>
      </c>
      <c r="AA72" s="18">
        <v>1</v>
      </c>
      <c r="AB72" s="18" t="s">
        <v>1</v>
      </c>
      <c r="AC72" s="61" t="s">
        <v>8</v>
      </c>
      <c r="AD72" s="18" t="s">
        <v>8</v>
      </c>
      <c r="AE72" s="18" t="s">
        <v>9</v>
      </c>
      <c r="AF72" s="30" t="s">
        <v>9</v>
      </c>
    </row>
    <row r="73" spans="2:32">
      <c r="M73" s="29">
        <v>6.2</v>
      </c>
      <c r="N73" s="22">
        <v>2.2000000000000002</v>
      </c>
      <c r="O73" s="22">
        <v>4.5</v>
      </c>
      <c r="P73" s="22">
        <v>1.5</v>
      </c>
      <c r="Q73" s="22" t="s">
        <v>1</v>
      </c>
      <c r="R73" s="61" t="s">
        <v>9</v>
      </c>
      <c r="S73" s="18" t="s">
        <v>8</v>
      </c>
      <c r="T73" s="18" t="s">
        <v>9</v>
      </c>
      <c r="U73" s="30" t="s">
        <v>9</v>
      </c>
      <c r="X73" s="29">
        <v>5.0999999999999996</v>
      </c>
      <c r="Y73" s="22">
        <v>2.5</v>
      </c>
      <c r="Z73" s="22">
        <v>3</v>
      </c>
      <c r="AA73" s="22">
        <v>1.1000000000000001</v>
      </c>
      <c r="AB73" s="22" t="s">
        <v>1</v>
      </c>
      <c r="AC73" s="61" t="s">
        <v>8</v>
      </c>
      <c r="AD73" s="18" t="s">
        <v>8</v>
      </c>
      <c r="AE73" s="18" t="s">
        <v>9</v>
      </c>
      <c r="AF73" s="30" t="s">
        <v>9</v>
      </c>
    </row>
    <row r="74" spans="2:32">
      <c r="M74" s="31">
        <v>5.6</v>
      </c>
      <c r="N74" s="18">
        <v>2.5</v>
      </c>
      <c r="O74" s="18">
        <v>3.9</v>
      </c>
      <c r="P74" s="18">
        <v>1.1000000000000001</v>
      </c>
      <c r="Q74" s="18" t="s">
        <v>1</v>
      </c>
      <c r="R74" s="61" t="s">
        <v>9</v>
      </c>
      <c r="S74" s="18" t="s">
        <v>8</v>
      </c>
      <c r="T74" s="18" t="s">
        <v>9</v>
      </c>
      <c r="U74" s="30" t="s">
        <v>9</v>
      </c>
      <c r="X74" s="32">
        <v>4.9000000000000004</v>
      </c>
      <c r="Y74" s="33">
        <v>2.5</v>
      </c>
      <c r="Z74" s="33">
        <v>4.5</v>
      </c>
      <c r="AA74" s="33">
        <v>1.7</v>
      </c>
      <c r="AB74" s="33" t="s">
        <v>2</v>
      </c>
      <c r="AC74" s="63" t="s">
        <v>8</v>
      </c>
      <c r="AD74" s="34" t="s">
        <v>8</v>
      </c>
      <c r="AE74" s="47" t="s">
        <v>9</v>
      </c>
      <c r="AF74" s="37" t="s">
        <v>9</v>
      </c>
    </row>
    <row r="75" spans="2:32">
      <c r="M75" s="31">
        <v>6.1</v>
      </c>
      <c r="N75" s="18">
        <v>2.8</v>
      </c>
      <c r="O75" s="18">
        <v>4</v>
      </c>
      <c r="P75" s="18">
        <v>1.3</v>
      </c>
      <c r="Q75" s="18" t="s">
        <v>1</v>
      </c>
      <c r="R75" s="61" t="s">
        <v>9</v>
      </c>
      <c r="S75" s="18" t="s">
        <v>8</v>
      </c>
      <c r="T75" s="18" t="s">
        <v>9</v>
      </c>
      <c r="U75" s="30" t="s">
        <v>9</v>
      </c>
    </row>
    <row r="76" spans="2:32">
      <c r="M76" s="29">
        <v>6.3</v>
      </c>
      <c r="N76" s="22">
        <v>2.5</v>
      </c>
      <c r="O76" s="22">
        <v>4.9000000000000004</v>
      </c>
      <c r="P76" s="22">
        <v>1.5</v>
      </c>
      <c r="Q76" s="22" t="s">
        <v>1</v>
      </c>
      <c r="R76" s="61" t="s">
        <v>9</v>
      </c>
      <c r="S76" s="18" t="s">
        <v>8</v>
      </c>
      <c r="T76" s="18" t="s">
        <v>10</v>
      </c>
      <c r="U76" s="30" t="s">
        <v>9</v>
      </c>
    </row>
    <row r="77" spans="2:32">
      <c r="M77" s="31">
        <v>6.1</v>
      </c>
      <c r="N77" s="18">
        <v>2.8</v>
      </c>
      <c r="O77" s="18">
        <v>4.7</v>
      </c>
      <c r="P77" s="18">
        <v>1.2</v>
      </c>
      <c r="Q77" s="18" t="s">
        <v>1</v>
      </c>
      <c r="R77" s="61" t="s">
        <v>9</v>
      </c>
      <c r="S77" s="18" t="s">
        <v>8</v>
      </c>
      <c r="T77" s="18" t="s">
        <v>9</v>
      </c>
      <c r="U77" s="30" t="s">
        <v>9</v>
      </c>
    </row>
    <row r="78" spans="2:32">
      <c r="M78" s="29">
        <v>6.4</v>
      </c>
      <c r="N78" s="22">
        <v>2.9</v>
      </c>
      <c r="O78" s="22">
        <v>4.3</v>
      </c>
      <c r="P78" s="22">
        <v>1.3</v>
      </c>
      <c r="Q78" s="22" t="s">
        <v>1</v>
      </c>
      <c r="R78" s="61" t="s">
        <v>9</v>
      </c>
      <c r="S78" s="18" t="s">
        <v>8</v>
      </c>
      <c r="T78" s="18" t="s">
        <v>9</v>
      </c>
      <c r="U78" s="30" t="s">
        <v>9</v>
      </c>
    </row>
    <row r="79" spans="2:32">
      <c r="M79" s="29">
        <v>6</v>
      </c>
      <c r="N79" s="22">
        <v>2.9</v>
      </c>
      <c r="O79" s="22">
        <v>4.5</v>
      </c>
      <c r="P79" s="22">
        <v>1.5</v>
      </c>
      <c r="Q79" s="22" t="s">
        <v>1</v>
      </c>
      <c r="R79" s="61" t="s">
        <v>9</v>
      </c>
      <c r="S79" s="18" t="s">
        <v>8</v>
      </c>
      <c r="T79" s="18" t="s">
        <v>9</v>
      </c>
      <c r="U79" s="30" t="s">
        <v>9</v>
      </c>
    </row>
    <row r="80" spans="2:32">
      <c r="M80" s="31">
        <v>5.7</v>
      </c>
      <c r="N80" s="18">
        <v>2.6</v>
      </c>
      <c r="O80" s="18">
        <v>3.5</v>
      </c>
      <c r="P80" s="18">
        <v>1</v>
      </c>
      <c r="Q80" s="18" t="s">
        <v>1</v>
      </c>
      <c r="R80" s="61" t="s">
        <v>9</v>
      </c>
      <c r="S80" s="18" t="s">
        <v>8</v>
      </c>
      <c r="T80" s="18" t="s">
        <v>9</v>
      </c>
      <c r="U80" s="30" t="s">
        <v>9</v>
      </c>
    </row>
    <row r="81" spans="13:21">
      <c r="M81" s="29">
        <v>5.8</v>
      </c>
      <c r="N81" s="22">
        <v>2.7</v>
      </c>
      <c r="O81" s="22">
        <v>3.9</v>
      </c>
      <c r="P81" s="22">
        <v>1.2</v>
      </c>
      <c r="Q81" s="22" t="s">
        <v>1</v>
      </c>
      <c r="R81" s="61" t="s">
        <v>9</v>
      </c>
      <c r="S81" s="18" t="s">
        <v>8</v>
      </c>
      <c r="T81" s="18" t="s">
        <v>9</v>
      </c>
      <c r="U81" s="30" t="s">
        <v>9</v>
      </c>
    </row>
    <row r="82" spans="13:21">
      <c r="M82" s="31">
        <v>6</v>
      </c>
      <c r="N82" s="18">
        <v>2.7</v>
      </c>
      <c r="O82" s="18">
        <v>5.0999999999999996</v>
      </c>
      <c r="P82" s="18">
        <v>1.6</v>
      </c>
      <c r="Q82" s="18" t="s">
        <v>1</v>
      </c>
      <c r="R82" s="61" t="s">
        <v>9</v>
      </c>
      <c r="S82" s="18" t="s">
        <v>8</v>
      </c>
      <c r="T82" s="18" t="s">
        <v>10</v>
      </c>
      <c r="U82" s="30" t="s">
        <v>9</v>
      </c>
    </row>
    <row r="83" spans="13:21">
      <c r="M83" s="31">
        <v>6</v>
      </c>
      <c r="N83" s="18">
        <v>3.4</v>
      </c>
      <c r="O83" s="18">
        <v>4.5</v>
      </c>
      <c r="P83" s="18">
        <v>1.6</v>
      </c>
      <c r="Q83" s="18" t="s">
        <v>1</v>
      </c>
      <c r="R83" s="61" t="s">
        <v>9</v>
      </c>
      <c r="S83" s="18" t="s">
        <v>9</v>
      </c>
      <c r="T83" s="18" t="s">
        <v>9</v>
      </c>
      <c r="U83" s="30" t="s">
        <v>9</v>
      </c>
    </row>
    <row r="84" spans="13:21">
      <c r="M84" s="31">
        <v>6.3</v>
      </c>
      <c r="N84" s="18">
        <v>2.2999999999999998</v>
      </c>
      <c r="O84" s="18">
        <v>4.4000000000000004</v>
      </c>
      <c r="P84" s="18">
        <v>1.3</v>
      </c>
      <c r="Q84" s="18" t="s">
        <v>1</v>
      </c>
      <c r="R84" s="61" t="s">
        <v>9</v>
      </c>
      <c r="S84" s="18" t="s">
        <v>8</v>
      </c>
      <c r="T84" s="18" t="s">
        <v>9</v>
      </c>
      <c r="U84" s="30" t="s">
        <v>9</v>
      </c>
    </row>
    <row r="85" spans="13:21">
      <c r="M85" s="29">
        <v>5.6</v>
      </c>
      <c r="N85" s="22">
        <v>3</v>
      </c>
      <c r="O85" s="22">
        <v>4.0999999999999996</v>
      </c>
      <c r="P85" s="22">
        <v>1.3</v>
      </c>
      <c r="Q85" s="22" t="s">
        <v>1</v>
      </c>
      <c r="R85" s="61" t="s">
        <v>9</v>
      </c>
      <c r="S85" s="18" t="s">
        <v>9</v>
      </c>
      <c r="T85" s="18" t="s">
        <v>9</v>
      </c>
      <c r="U85" s="30" t="s">
        <v>9</v>
      </c>
    </row>
    <row r="86" spans="13:21">
      <c r="M86" s="31">
        <v>6.1</v>
      </c>
      <c r="N86" s="18">
        <v>3</v>
      </c>
      <c r="O86" s="18">
        <v>4.5999999999999996</v>
      </c>
      <c r="P86" s="18">
        <v>1.4</v>
      </c>
      <c r="Q86" s="18" t="s">
        <v>1</v>
      </c>
      <c r="R86" s="61" t="s">
        <v>9</v>
      </c>
      <c r="S86" s="18" t="s">
        <v>9</v>
      </c>
      <c r="T86" s="18" t="s">
        <v>9</v>
      </c>
      <c r="U86" s="30" t="s">
        <v>9</v>
      </c>
    </row>
    <row r="87" spans="13:21">
      <c r="M87" s="29">
        <v>5.8</v>
      </c>
      <c r="N87" s="22">
        <v>2.6</v>
      </c>
      <c r="O87" s="22">
        <v>4</v>
      </c>
      <c r="P87" s="22">
        <v>1.2</v>
      </c>
      <c r="Q87" s="22" t="s">
        <v>1</v>
      </c>
      <c r="R87" s="61" t="s">
        <v>9</v>
      </c>
      <c r="S87" s="18" t="s">
        <v>8</v>
      </c>
      <c r="T87" s="18" t="s">
        <v>9</v>
      </c>
      <c r="U87" s="30" t="s">
        <v>9</v>
      </c>
    </row>
    <row r="88" spans="13:21">
      <c r="M88" s="29">
        <v>5.6</v>
      </c>
      <c r="N88" s="22">
        <v>2.7</v>
      </c>
      <c r="O88" s="22">
        <v>4.2</v>
      </c>
      <c r="P88" s="22">
        <v>1.3</v>
      </c>
      <c r="Q88" s="22" t="s">
        <v>1</v>
      </c>
      <c r="R88" s="61" t="s">
        <v>9</v>
      </c>
      <c r="S88" s="18" t="s">
        <v>8</v>
      </c>
      <c r="T88" s="18" t="s">
        <v>9</v>
      </c>
      <c r="U88" s="30" t="s">
        <v>9</v>
      </c>
    </row>
    <row r="89" spans="13:21">
      <c r="M89" s="31">
        <v>5.7</v>
      </c>
      <c r="N89" s="18">
        <v>3</v>
      </c>
      <c r="O89" s="18">
        <v>4.2</v>
      </c>
      <c r="P89" s="18">
        <v>1.2</v>
      </c>
      <c r="Q89" s="18" t="s">
        <v>1</v>
      </c>
      <c r="R89" s="61" t="s">
        <v>9</v>
      </c>
      <c r="S89" s="18" t="s">
        <v>9</v>
      </c>
      <c r="T89" s="18" t="s">
        <v>9</v>
      </c>
      <c r="U89" s="30" t="s">
        <v>9</v>
      </c>
    </row>
    <row r="90" spans="13:21">
      <c r="M90" s="29">
        <v>5.7</v>
      </c>
      <c r="N90" s="22">
        <v>2.9</v>
      </c>
      <c r="O90" s="22">
        <v>4.2</v>
      </c>
      <c r="P90" s="22">
        <v>1.3</v>
      </c>
      <c r="Q90" s="22" t="s">
        <v>1</v>
      </c>
      <c r="R90" s="61" t="s">
        <v>9</v>
      </c>
      <c r="S90" s="18" t="s">
        <v>8</v>
      </c>
      <c r="T90" s="18" t="s">
        <v>9</v>
      </c>
      <c r="U90" s="30" t="s">
        <v>9</v>
      </c>
    </row>
    <row r="91" spans="13:21">
      <c r="M91" s="31">
        <v>6.2</v>
      </c>
      <c r="N91" s="18">
        <v>2.9</v>
      </c>
      <c r="O91" s="18">
        <v>4.3</v>
      </c>
      <c r="P91" s="18">
        <v>1.3</v>
      </c>
      <c r="Q91" s="18" t="s">
        <v>1</v>
      </c>
      <c r="R91" s="61" t="s">
        <v>9</v>
      </c>
      <c r="S91" s="18" t="s">
        <v>8</v>
      </c>
      <c r="T91" s="18" t="s">
        <v>9</v>
      </c>
      <c r="U91" s="30" t="s">
        <v>9</v>
      </c>
    </row>
    <row r="92" spans="13:21">
      <c r="M92" s="31">
        <v>5.7</v>
      </c>
      <c r="N92" s="18">
        <v>2.8</v>
      </c>
      <c r="O92" s="18">
        <v>4.0999999999999996</v>
      </c>
      <c r="P92" s="18">
        <v>1.3</v>
      </c>
      <c r="Q92" s="18" t="s">
        <v>1</v>
      </c>
      <c r="R92" s="61" t="s">
        <v>9</v>
      </c>
      <c r="S92" s="18" t="s">
        <v>8</v>
      </c>
      <c r="T92" s="18" t="s">
        <v>9</v>
      </c>
      <c r="U92" s="30" t="s">
        <v>9</v>
      </c>
    </row>
    <row r="93" spans="13:21">
      <c r="M93" s="29">
        <v>6</v>
      </c>
      <c r="N93" s="22">
        <v>2.2000000000000002</v>
      </c>
      <c r="O93" s="22">
        <v>5</v>
      </c>
      <c r="P93" s="22">
        <v>1.5</v>
      </c>
      <c r="Q93" s="22" t="s">
        <v>2</v>
      </c>
      <c r="R93" s="61" t="s">
        <v>9</v>
      </c>
      <c r="S93" s="23" t="s">
        <v>8</v>
      </c>
      <c r="T93" s="18" t="s">
        <v>10</v>
      </c>
      <c r="U93" s="30" t="s">
        <v>9</v>
      </c>
    </row>
    <row r="94" spans="13:21">
      <c r="M94" s="29">
        <v>6.3</v>
      </c>
      <c r="N94" s="22">
        <v>2.8</v>
      </c>
      <c r="O94" s="22">
        <v>5.0999999999999996</v>
      </c>
      <c r="P94" s="22">
        <v>1.5</v>
      </c>
      <c r="Q94" s="22" t="s">
        <v>2</v>
      </c>
      <c r="R94" s="61" t="s">
        <v>9</v>
      </c>
      <c r="S94" s="23" t="s">
        <v>8</v>
      </c>
      <c r="T94" s="18" t="s">
        <v>10</v>
      </c>
      <c r="U94" s="30" t="s">
        <v>9</v>
      </c>
    </row>
    <row r="95" spans="13:21">
      <c r="M95" s="32">
        <v>6.1</v>
      </c>
      <c r="N95" s="33">
        <v>2.6</v>
      </c>
      <c r="O95" s="33">
        <v>5.6</v>
      </c>
      <c r="P95" s="33">
        <v>1.4</v>
      </c>
      <c r="Q95" s="33" t="s">
        <v>2</v>
      </c>
      <c r="R95" s="63" t="s">
        <v>9</v>
      </c>
      <c r="S95" s="34" t="s">
        <v>8</v>
      </c>
      <c r="T95" s="47" t="s">
        <v>10</v>
      </c>
      <c r="U95" s="37" t="s">
        <v>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0A6D-97D9-448A-B1AC-11D874AACA20}">
  <dimension ref="B2:U100"/>
  <sheetViews>
    <sheetView workbookViewId="0">
      <selection activeCell="L54" sqref="L54"/>
    </sheetView>
  </sheetViews>
  <sheetFormatPr baseColWidth="10" defaultRowHeight="15"/>
  <cols>
    <col min="2" max="2" width="18.7109375" customWidth="1"/>
    <col min="3" max="3" width="17" customWidth="1"/>
    <col min="4" max="4" width="18.7109375" customWidth="1"/>
    <col min="5" max="5" width="16.85546875" customWidth="1"/>
    <col min="7" max="7" width="19.7109375" customWidth="1"/>
    <col min="8" max="8" width="18" customWidth="1"/>
    <col min="9" max="9" width="19.7109375" customWidth="1"/>
    <col min="10" max="10" width="17.85546875" customWidth="1"/>
    <col min="13" max="13" width="18.7109375" customWidth="1"/>
    <col min="14" max="14" width="17" customWidth="1"/>
    <col min="15" max="15" width="18.7109375" customWidth="1"/>
    <col min="16" max="16" width="16.85546875" customWidth="1"/>
    <col min="18" max="18" width="19.7109375" customWidth="1"/>
    <col min="19" max="19" width="18" customWidth="1"/>
    <col min="20" max="20" width="19.7109375" customWidth="1"/>
    <col min="21" max="21" width="17.85546875" customWidth="1"/>
    <col min="24" max="24" width="18.7109375" customWidth="1"/>
    <col min="25" max="25" width="17" customWidth="1"/>
    <col min="26" max="26" width="18.7109375" customWidth="1"/>
    <col min="27" max="27" width="16.85546875" customWidth="1"/>
    <col min="29" max="29" width="19.7109375" customWidth="1"/>
    <col min="30" max="30" width="18" customWidth="1"/>
    <col min="31" max="31" width="19.7109375" customWidth="1"/>
    <col min="32" max="32" width="17.85546875" customWidth="1"/>
  </cols>
  <sheetData>
    <row r="2" spans="2:10">
      <c r="B2" t="s">
        <v>28</v>
      </c>
      <c r="C2" t="s">
        <v>29</v>
      </c>
      <c r="D2" t="s">
        <v>30</v>
      </c>
      <c r="E2" t="s">
        <v>31</v>
      </c>
      <c r="F2" t="s">
        <v>24</v>
      </c>
      <c r="G2" t="s">
        <v>32</v>
      </c>
      <c r="H2" t="s">
        <v>36</v>
      </c>
      <c r="I2" t="s">
        <v>34</v>
      </c>
      <c r="J2" t="s">
        <v>35</v>
      </c>
    </row>
    <row r="3" spans="2:10">
      <c r="B3" s="2">
        <v>7</v>
      </c>
      <c r="C3" s="2">
        <v>3.2</v>
      </c>
      <c r="D3" s="2">
        <v>4.7</v>
      </c>
      <c r="E3" s="2">
        <v>1.4</v>
      </c>
      <c r="F3" s="2" t="s">
        <v>1</v>
      </c>
      <c r="G3" s="1" t="s">
        <v>10</v>
      </c>
      <c r="H3" s="1" t="s">
        <v>9</v>
      </c>
      <c r="I3" s="1" t="s">
        <v>9</v>
      </c>
      <c r="J3" s="7" t="s">
        <v>9</v>
      </c>
    </row>
    <row r="4" spans="2:10">
      <c r="B4" s="1">
        <v>6.4</v>
      </c>
      <c r="C4" s="1">
        <v>3.2</v>
      </c>
      <c r="D4" s="1">
        <v>4.5</v>
      </c>
      <c r="E4" s="1">
        <v>1.5</v>
      </c>
      <c r="F4" s="1" t="s">
        <v>1</v>
      </c>
      <c r="G4" s="1" t="s">
        <v>9</v>
      </c>
      <c r="H4" s="1" t="s">
        <v>9</v>
      </c>
      <c r="I4" s="1" t="s">
        <v>9</v>
      </c>
      <c r="J4" s="7" t="s">
        <v>9</v>
      </c>
    </row>
    <row r="5" spans="2:10">
      <c r="B5" s="2">
        <v>6.9</v>
      </c>
      <c r="C5" s="2">
        <v>3.1</v>
      </c>
      <c r="D5" s="2">
        <v>4.9000000000000004</v>
      </c>
      <c r="E5" s="2">
        <v>1.5</v>
      </c>
      <c r="F5" s="2" t="s">
        <v>1</v>
      </c>
      <c r="G5" s="1" t="s">
        <v>10</v>
      </c>
      <c r="H5" s="1" t="s">
        <v>9</v>
      </c>
      <c r="I5" s="1" t="s">
        <v>10</v>
      </c>
      <c r="J5" s="7" t="s">
        <v>9</v>
      </c>
    </row>
    <row r="6" spans="2:10">
      <c r="B6" s="1">
        <v>5.5</v>
      </c>
      <c r="C6" s="1">
        <v>2.2999999999999998</v>
      </c>
      <c r="D6" s="1">
        <v>4</v>
      </c>
      <c r="E6" s="1">
        <v>1.3</v>
      </c>
      <c r="F6" s="1" t="s">
        <v>1</v>
      </c>
      <c r="G6" s="1" t="s">
        <v>8</v>
      </c>
      <c r="H6" s="1" t="s">
        <v>8</v>
      </c>
      <c r="I6" s="1" t="s">
        <v>9</v>
      </c>
      <c r="J6" s="7" t="s">
        <v>9</v>
      </c>
    </row>
    <row r="7" spans="2:10">
      <c r="B7" s="2">
        <v>6.5</v>
      </c>
      <c r="C7" s="2">
        <v>2.8</v>
      </c>
      <c r="D7" s="2">
        <v>4.5999999999999996</v>
      </c>
      <c r="E7" s="2">
        <v>1.5</v>
      </c>
      <c r="F7" s="2" t="s">
        <v>1</v>
      </c>
      <c r="G7" s="1" t="s">
        <v>9</v>
      </c>
      <c r="H7" s="1" t="s">
        <v>8</v>
      </c>
      <c r="I7" s="1" t="s">
        <v>9</v>
      </c>
      <c r="J7" s="7" t="s">
        <v>9</v>
      </c>
    </row>
    <row r="8" spans="2:10">
      <c r="B8" s="1">
        <v>5.7</v>
      </c>
      <c r="C8" s="1">
        <v>2.8</v>
      </c>
      <c r="D8" s="1">
        <v>4.5</v>
      </c>
      <c r="E8" s="1">
        <v>1.3</v>
      </c>
      <c r="F8" s="1" t="s">
        <v>1</v>
      </c>
      <c r="G8" s="1" t="s">
        <v>9</v>
      </c>
      <c r="H8" s="1" t="s">
        <v>8</v>
      </c>
      <c r="I8" s="1" t="s">
        <v>9</v>
      </c>
      <c r="J8" s="7" t="s">
        <v>9</v>
      </c>
    </row>
    <row r="9" spans="2:10">
      <c r="B9" s="2">
        <v>6.3</v>
      </c>
      <c r="C9" s="2">
        <v>3.3</v>
      </c>
      <c r="D9" s="2">
        <v>4.7</v>
      </c>
      <c r="E9" s="2">
        <v>1.6</v>
      </c>
      <c r="F9" s="2" t="s">
        <v>1</v>
      </c>
      <c r="G9" s="1" t="s">
        <v>9</v>
      </c>
      <c r="H9" s="1" t="s">
        <v>9</v>
      </c>
      <c r="I9" s="1" t="s">
        <v>9</v>
      </c>
      <c r="J9" s="7" t="s">
        <v>9</v>
      </c>
    </row>
    <row r="10" spans="2:10">
      <c r="B10" s="1">
        <v>4.9000000000000004</v>
      </c>
      <c r="C10" s="1">
        <v>2.4</v>
      </c>
      <c r="D10" s="1">
        <v>3.3</v>
      </c>
      <c r="E10" s="1">
        <v>1</v>
      </c>
      <c r="F10" s="1" t="s">
        <v>1</v>
      </c>
      <c r="G10" s="1" t="s">
        <v>8</v>
      </c>
      <c r="H10" s="1" t="s">
        <v>8</v>
      </c>
      <c r="I10" s="1" t="s">
        <v>9</v>
      </c>
      <c r="J10" s="7" t="s">
        <v>9</v>
      </c>
    </row>
    <row r="11" spans="2:10">
      <c r="B11" s="2">
        <v>6.6</v>
      </c>
      <c r="C11" s="2">
        <v>2.9</v>
      </c>
      <c r="D11" s="2">
        <v>4.5999999999999996</v>
      </c>
      <c r="E11" s="2">
        <v>1.3</v>
      </c>
      <c r="F11" s="2" t="s">
        <v>1</v>
      </c>
      <c r="G11" s="1" t="s">
        <v>10</v>
      </c>
      <c r="H11" s="1" t="s">
        <v>8</v>
      </c>
      <c r="I11" s="1" t="s">
        <v>9</v>
      </c>
      <c r="J11" s="7" t="s">
        <v>9</v>
      </c>
    </row>
    <row r="12" spans="2:10">
      <c r="B12" s="1">
        <v>5.2</v>
      </c>
      <c r="C12" s="1">
        <v>2.7</v>
      </c>
      <c r="D12" s="1">
        <v>3.9</v>
      </c>
      <c r="E12" s="1">
        <v>1.4</v>
      </c>
      <c r="F12" s="1" t="s">
        <v>1</v>
      </c>
      <c r="G12" s="1" t="s">
        <v>8</v>
      </c>
      <c r="H12" s="1" t="s">
        <v>8</v>
      </c>
      <c r="I12" s="1" t="s">
        <v>9</v>
      </c>
      <c r="J12" s="7" t="s">
        <v>9</v>
      </c>
    </row>
    <row r="13" spans="2:10">
      <c r="B13" s="2">
        <v>5</v>
      </c>
      <c r="C13" s="2">
        <v>2</v>
      </c>
      <c r="D13" s="2">
        <v>3.5</v>
      </c>
      <c r="E13" s="2">
        <v>1</v>
      </c>
      <c r="F13" s="2" t="s">
        <v>1</v>
      </c>
      <c r="G13" s="1" t="s">
        <v>8</v>
      </c>
      <c r="H13" s="1" t="s">
        <v>8</v>
      </c>
      <c r="I13" s="1" t="s">
        <v>9</v>
      </c>
      <c r="J13" s="7" t="s">
        <v>9</v>
      </c>
    </row>
    <row r="14" spans="2:10">
      <c r="B14" s="1">
        <v>5.9</v>
      </c>
      <c r="C14" s="1">
        <v>3</v>
      </c>
      <c r="D14" s="1">
        <v>4.2</v>
      </c>
      <c r="E14" s="1">
        <v>1.5</v>
      </c>
      <c r="F14" s="1" t="s">
        <v>1</v>
      </c>
      <c r="G14" s="1" t="s">
        <v>9</v>
      </c>
      <c r="H14" s="1" t="s">
        <v>9</v>
      </c>
      <c r="I14" s="1" t="s">
        <v>9</v>
      </c>
      <c r="J14" s="7" t="s">
        <v>9</v>
      </c>
    </row>
    <row r="15" spans="2:10">
      <c r="B15" s="2">
        <v>6</v>
      </c>
      <c r="C15" s="2">
        <v>2.2000000000000002</v>
      </c>
      <c r="D15" s="2">
        <v>4</v>
      </c>
      <c r="E15" s="2">
        <v>1</v>
      </c>
      <c r="F15" s="2" t="s">
        <v>1</v>
      </c>
      <c r="G15" s="1" t="s">
        <v>9</v>
      </c>
      <c r="H15" s="1" t="s">
        <v>8</v>
      </c>
      <c r="I15" s="1" t="s">
        <v>9</v>
      </c>
      <c r="J15" s="7" t="s">
        <v>9</v>
      </c>
    </row>
    <row r="16" spans="2:10">
      <c r="B16" s="1">
        <v>6.1</v>
      </c>
      <c r="C16" s="1">
        <v>2.9</v>
      </c>
      <c r="D16" s="1">
        <v>4.7</v>
      </c>
      <c r="E16" s="1">
        <v>1.4</v>
      </c>
      <c r="F16" s="1" t="s">
        <v>1</v>
      </c>
      <c r="G16" s="1" t="s">
        <v>9</v>
      </c>
      <c r="H16" s="1" t="s">
        <v>8</v>
      </c>
      <c r="I16" s="1" t="s">
        <v>9</v>
      </c>
      <c r="J16" s="7" t="s">
        <v>9</v>
      </c>
    </row>
    <row r="17" spans="2:10">
      <c r="B17" s="2">
        <v>5.6</v>
      </c>
      <c r="C17" s="2">
        <v>2.9</v>
      </c>
      <c r="D17" s="2">
        <v>3.6</v>
      </c>
      <c r="E17" s="2">
        <v>1.3</v>
      </c>
      <c r="F17" s="2" t="s">
        <v>1</v>
      </c>
      <c r="G17" s="1" t="s">
        <v>9</v>
      </c>
      <c r="H17" s="1" t="s">
        <v>8</v>
      </c>
      <c r="I17" s="1" t="s">
        <v>9</v>
      </c>
      <c r="J17" s="7" t="s">
        <v>9</v>
      </c>
    </row>
    <row r="18" spans="2:10">
      <c r="B18" s="1">
        <v>6.7</v>
      </c>
      <c r="C18" s="1">
        <v>3.1</v>
      </c>
      <c r="D18" s="1">
        <v>4.4000000000000004</v>
      </c>
      <c r="E18" s="1">
        <v>1.4</v>
      </c>
      <c r="F18" s="1" t="s">
        <v>1</v>
      </c>
      <c r="G18" s="1" t="s">
        <v>10</v>
      </c>
      <c r="H18" s="1" t="s">
        <v>9</v>
      </c>
      <c r="I18" s="1" t="s">
        <v>9</v>
      </c>
      <c r="J18" s="7" t="s">
        <v>9</v>
      </c>
    </row>
    <row r="19" spans="2:10">
      <c r="B19" s="2">
        <v>5.6</v>
      </c>
      <c r="C19" s="2">
        <v>3</v>
      </c>
      <c r="D19" s="2">
        <v>4.5</v>
      </c>
      <c r="E19" s="2">
        <v>1.5</v>
      </c>
      <c r="F19" s="2" t="s">
        <v>1</v>
      </c>
      <c r="G19" s="1" t="s">
        <v>9</v>
      </c>
      <c r="H19" s="1" t="s">
        <v>9</v>
      </c>
      <c r="I19" s="1" t="s">
        <v>9</v>
      </c>
      <c r="J19" s="7" t="s">
        <v>9</v>
      </c>
    </row>
    <row r="20" spans="2:10">
      <c r="B20" s="1">
        <v>5.8</v>
      </c>
      <c r="C20" s="1">
        <v>2.7</v>
      </c>
      <c r="D20" s="1">
        <v>4.0999999999999996</v>
      </c>
      <c r="E20" s="1">
        <v>1</v>
      </c>
      <c r="F20" s="1" t="s">
        <v>1</v>
      </c>
      <c r="G20" s="1" t="s">
        <v>9</v>
      </c>
      <c r="H20" s="1" t="s">
        <v>8</v>
      </c>
      <c r="I20" s="1" t="s">
        <v>9</v>
      </c>
      <c r="J20" s="7" t="s">
        <v>9</v>
      </c>
    </row>
    <row r="21" spans="2:10">
      <c r="B21" s="2">
        <v>6.2</v>
      </c>
      <c r="C21" s="2">
        <v>2.2000000000000002</v>
      </c>
      <c r="D21" s="2">
        <v>4.5</v>
      </c>
      <c r="E21" s="2">
        <v>1.5</v>
      </c>
      <c r="F21" s="2" t="s">
        <v>1</v>
      </c>
      <c r="G21" s="1" t="s">
        <v>9</v>
      </c>
      <c r="H21" s="1" t="s">
        <v>8</v>
      </c>
      <c r="I21" s="1" t="s">
        <v>9</v>
      </c>
      <c r="J21" s="7" t="s">
        <v>9</v>
      </c>
    </row>
    <row r="22" spans="2:10">
      <c r="B22" s="1">
        <v>5.6</v>
      </c>
      <c r="C22" s="1">
        <v>2.5</v>
      </c>
      <c r="D22" s="1">
        <v>3.9</v>
      </c>
      <c r="E22" s="1">
        <v>1.1000000000000001</v>
      </c>
      <c r="F22" s="1" t="s">
        <v>1</v>
      </c>
      <c r="G22" s="1" t="s">
        <v>9</v>
      </c>
      <c r="H22" s="1" t="s">
        <v>8</v>
      </c>
      <c r="I22" s="1" t="s">
        <v>9</v>
      </c>
      <c r="J22" s="7" t="s">
        <v>9</v>
      </c>
    </row>
    <row r="23" spans="2:10">
      <c r="B23" s="1">
        <v>6.1</v>
      </c>
      <c r="C23" s="1">
        <v>2.8</v>
      </c>
      <c r="D23" s="1">
        <v>4</v>
      </c>
      <c r="E23" s="1">
        <v>1.3</v>
      </c>
      <c r="F23" s="1" t="s">
        <v>1</v>
      </c>
      <c r="G23" s="1" t="s">
        <v>9</v>
      </c>
      <c r="H23" s="1" t="s">
        <v>8</v>
      </c>
      <c r="I23" s="1" t="s">
        <v>9</v>
      </c>
      <c r="J23" s="7" t="s">
        <v>9</v>
      </c>
    </row>
    <row r="24" spans="2:10">
      <c r="B24" s="2">
        <v>6.3</v>
      </c>
      <c r="C24" s="2">
        <v>2.5</v>
      </c>
      <c r="D24" s="2">
        <v>4.9000000000000004</v>
      </c>
      <c r="E24" s="2">
        <v>1.5</v>
      </c>
      <c r="F24" s="2" t="s">
        <v>1</v>
      </c>
      <c r="G24" s="1" t="s">
        <v>9</v>
      </c>
      <c r="H24" s="1" t="s">
        <v>8</v>
      </c>
      <c r="I24" s="1" t="s">
        <v>10</v>
      </c>
      <c r="J24" s="7" t="s">
        <v>9</v>
      </c>
    </row>
    <row r="25" spans="2:10">
      <c r="B25" s="1">
        <v>6.1</v>
      </c>
      <c r="C25" s="1">
        <v>2.8</v>
      </c>
      <c r="D25" s="1">
        <v>4.7</v>
      </c>
      <c r="E25" s="1">
        <v>1.2</v>
      </c>
      <c r="F25" s="1" t="s">
        <v>1</v>
      </c>
      <c r="G25" s="1" t="s">
        <v>9</v>
      </c>
      <c r="H25" s="1" t="s">
        <v>8</v>
      </c>
      <c r="I25" s="1" t="s">
        <v>9</v>
      </c>
      <c r="J25" s="7" t="s">
        <v>9</v>
      </c>
    </row>
    <row r="26" spans="2:10">
      <c r="B26" s="2">
        <v>6.4</v>
      </c>
      <c r="C26" s="2">
        <v>2.9</v>
      </c>
      <c r="D26" s="2">
        <v>4.3</v>
      </c>
      <c r="E26" s="2">
        <v>1.3</v>
      </c>
      <c r="F26" s="2" t="s">
        <v>1</v>
      </c>
      <c r="G26" s="1" t="s">
        <v>9</v>
      </c>
      <c r="H26" s="1" t="s">
        <v>8</v>
      </c>
      <c r="I26" s="1" t="s">
        <v>9</v>
      </c>
      <c r="J26" s="7" t="s">
        <v>9</v>
      </c>
    </row>
    <row r="27" spans="2:10">
      <c r="B27" s="1">
        <v>6.6</v>
      </c>
      <c r="C27" s="1">
        <v>3</v>
      </c>
      <c r="D27" s="1">
        <v>4.4000000000000004</v>
      </c>
      <c r="E27" s="1">
        <v>1.4</v>
      </c>
      <c r="F27" s="1" t="s">
        <v>1</v>
      </c>
      <c r="G27" s="1" t="s">
        <v>10</v>
      </c>
      <c r="H27" s="1" t="s">
        <v>9</v>
      </c>
      <c r="I27" s="1" t="s">
        <v>9</v>
      </c>
      <c r="J27" s="7" t="s">
        <v>9</v>
      </c>
    </row>
    <row r="28" spans="2:10">
      <c r="B28" s="2">
        <v>6.8</v>
      </c>
      <c r="C28" s="2">
        <v>2.8</v>
      </c>
      <c r="D28" s="2">
        <v>4.8</v>
      </c>
      <c r="E28" s="2">
        <v>1.4</v>
      </c>
      <c r="F28" s="2" t="s">
        <v>1</v>
      </c>
      <c r="G28" s="1" t="s">
        <v>10</v>
      </c>
      <c r="H28" s="1" t="s">
        <v>8</v>
      </c>
      <c r="I28" s="1" t="s">
        <v>9</v>
      </c>
      <c r="J28" s="7" t="s">
        <v>9</v>
      </c>
    </row>
    <row r="29" spans="2:10">
      <c r="B29" s="1">
        <v>6.7</v>
      </c>
      <c r="C29" s="1">
        <v>3</v>
      </c>
      <c r="D29" s="1">
        <v>5</v>
      </c>
      <c r="E29" s="1">
        <v>1.7</v>
      </c>
      <c r="F29" s="1" t="s">
        <v>1</v>
      </c>
      <c r="G29" s="1" t="s">
        <v>10</v>
      </c>
      <c r="H29" s="1" t="s">
        <v>9</v>
      </c>
      <c r="I29" s="1" t="s">
        <v>10</v>
      </c>
      <c r="J29" s="7" t="s">
        <v>9</v>
      </c>
    </row>
    <row r="30" spans="2:10">
      <c r="B30" s="2">
        <v>6</v>
      </c>
      <c r="C30" s="2">
        <v>2.9</v>
      </c>
      <c r="D30" s="2">
        <v>4.5</v>
      </c>
      <c r="E30" s="2">
        <v>1.5</v>
      </c>
      <c r="F30" s="2" t="s">
        <v>1</v>
      </c>
      <c r="G30" s="1" t="s">
        <v>9</v>
      </c>
      <c r="H30" s="1" t="s">
        <v>8</v>
      </c>
      <c r="I30" s="1" t="s">
        <v>9</v>
      </c>
      <c r="J30" s="7" t="s">
        <v>9</v>
      </c>
    </row>
    <row r="31" spans="2:10">
      <c r="B31" s="1">
        <v>5.7</v>
      </c>
      <c r="C31" s="1">
        <v>2.6</v>
      </c>
      <c r="D31" s="1">
        <v>3.5</v>
      </c>
      <c r="E31" s="1">
        <v>1</v>
      </c>
      <c r="F31" s="1" t="s">
        <v>1</v>
      </c>
      <c r="G31" s="1" t="s">
        <v>9</v>
      </c>
      <c r="H31" s="1" t="s">
        <v>8</v>
      </c>
      <c r="I31" s="1" t="s">
        <v>9</v>
      </c>
      <c r="J31" s="7" t="s">
        <v>9</v>
      </c>
    </row>
    <row r="32" spans="2:10">
      <c r="B32" s="2">
        <v>5.5</v>
      </c>
      <c r="C32" s="2">
        <v>2.4</v>
      </c>
      <c r="D32" s="2">
        <v>3.8</v>
      </c>
      <c r="E32" s="2">
        <v>1.1000000000000001</v>
      </c>
      <c r="F32" s="2" t="s">
        <v>1</v>
      </c>
      <c r="G32" s="1" t="s">
        <v>8</v>
      </c>
      <c r="H32" s="1" t="s">
        <v>8</v>
      </c>
      <c r="I32" s="1" t="s">
        <v>9</v>
      </c>
      <c r="J32" s="7" t="s">
        <v>9</v>
      </c>
    </row>
    <row r="33" spans="2:10">
      <c r="B33" s="1">
        <v>5.5</v>
      </c>
      <c r="C33" s="1">
        <v>2.4</v>
      </c>
      <c r="D33" s="1">
        <v>3.7</v>
      </c>
      <c r="E33" s="1">
        <v>1</v>
      </c>
      <c r="F33" s="1" t="s">
        <v>1</v>
      </c>
      <c r="G33" s="1" t="s">
        <v>8</v>
      </c>
      <c r="H33" s="1" t="s">
        <v>8</v>
      </c>
      <c r="I33" s="1" t="s">
        <v>9</v>
      </c>
      <c r="J33" s="7" t="s">
        <v>9</v>
      </c>
    </row>
    <row r="34" spans="2:10">
      <c r="B34" s="2">
        <v>5.8</v>
      </c>
      <c r="C34" s="2">
        <v>2.7</v>
      </c>
      <c r="D34" s="2">
        <v>3.9</v>
      </c>
      <c r="E34" s="2">
        <v>1.2</v>
      </c>
      <c r="F34" s="2" t="s">
        <v>1</v>
      </c>
      <c r="G34" s="1" t="s">
        <v>9</v>
      </c>
      <c r="H34" s="1" t="s">
        <v>8</v>
      </c>
      <c r="I34" s="1" t="s">
        <v>9</v>
      </c>
      <c r="J34" s="7" t="s">
        <v>9</v>
      </c>
    </row>
    <row r="35" spans="2:10">
      <c r="B35" s="1">
        <v>6</v>
      </c>
      <c r="C35" s="1">
        <v>2.7</v>
      </c>
      <c r="D35" s="1">
        <v>5.0999999999999996</v>
      </c>
      <c r="E35" s="1">
        <v>1.6</v>
      </c>
      <c r="F35" s="1" t="s">
        <v>1</v>
      </c>
      <c r="G35" s="1" t="s">
        <v>9</v>
      </c>
      <c r="H35" s="1" t="s">
        <v>8</v>
      </c>
      <c r="I35" s="1" t="s">
        <v>10</v>
      </c>
      <c r="J35" s="7" t="s">
        <v>9</v>
      </c>
    </row>
    <row r="36" spans="2:10">
      <c r="B36" s="2">
        <v>5.4</v>
      </c>
      <c r="C36" s="2">
        <v>3</v>
      </c>
      <c r="D36" s="2">
        <v>4.5</v>
      </c>
      <c r="E36" s="2">
        <v>1.5</v>
      </c>
      <c r="F36" s="2" t="s">
        <v>1</v>
      </c>
      <c r="G36" s="1" t="s">
        <v>8</v>
      </c>
      <c r="H36" s="1" t="s">
        <v>9</v>
      </c>
      <c r="I36" s="1" t="s">
        <v>9</v>
      </c>
      <c r="J36" s="7" t="s">
        <v>9</v>
      </c>
    </row>
    <row r="37" spans="2:10">
      <c r="B37" s="1">
        <v>6</v>
      </c>
      <c r="C37" s="1">
        <v>3.4</v>
      </c>
      <c r="D37" s="1">
        <v>4.5</v>
      </c>
      <c r="E37" s="1">
        <v>1.6</v>
      </c>
      <c r="F37" s="1" t="s">
        <v>1</v>
      </c>
      <c r="G37" s="1" t="s">
        <v>9</v>
      </c>
      <c r="H37" s="1" t="s">
        <v>9</v>
      </c>
      <c r="I37" s="1" t="s">
        <v>9</v>
      </c>
      <c r="J37" s="7" t="s">
        <v>9</v>
      </c>
    </row>
    <row r="38" spans="2:10">
      <c r="B38" s="2">
        <v>6.7</v>
      </c>
      <c r="C38" s="2">
        <v>3.1</v>
      </c>
      <c r="D38" s="2">
        <v>4.7</v>
      </c>
      <c r="E38" s="2">
        <v>1.5</v>
      </c>
      <c r="F38" s="2" t="s">
        <v>1</v>
      </c>
      <c r="G38" s="1" t="s">
        <v>10</v>
      </c>
      <c r="H38" s="1" t="s">
        <v>9</v>
      </c>
      <c r="I38" s="1" t="s">
        <v>9</v>
      </c>
      <c r="J38" s="7" t="s">
        <v>9</v>
      </c>
    </row>
    <row r="39" spans="2:10">
      <c r="B39" s="1">
        <v>6.3</v>
      </c>
      <c r="C39" s="1">
        <v>2.2999999999999998</v>
      </c>
      <c r="D39" s="1">
        <v>4.4000000000000004</v>
      </c>
      <c r="E39" s="1">
        <v>1.3</v>
      </c>
      <c r="F39" s="1" t="s">
        <v>1</v>
      </c>
      <c r="G39" s="1" t="s">
        <v>9</v>
      </c>
      <c r="H39" s="1" t="s">
        <v>8</v>
      </c>
      <c r="I39" s="1" t="s">
        <v>9</v>
      </c>
      <c r="J39" s="7" t="s">
        <v>9</v>
      </c>
    </row>
    <row r="40" spans="2:10">
      <c r="B40" s="2">
        <v>5.6</v>
      </c>
      <c r="C40" s="2">
        <v>3</v>
      </c>
      <c r="D40" s="2">
        <v>4.0999999999999996</v>
      </c>
      <c r="E40" s="2">
        <v>1.3</v>
      </c>
      <c r="F40" s="2" t="s">
        <v>1</v>
      </c>
      <c r="G40" s="1" t="s">
        <v>9</v>
      </c>
      <c r="H40" s="1" t="s">
        <v>9</v>
      </c>
      <c r="I40" s="1" t="s">
        <v>9</v>
      </c>
      <c r="J40" s="7" t="s">
        <v>9</v>
      </c>
    </row>
    <row r="41" spans="2:10">
      <c r="B41" s="1">
        <v>5.5</v>
      </c>
      <c r="C41" s="1">
        <v>2.5</v>
      </c>
      <c r="D41" s="1">
        <v>4</v>
      </c>
      <c r="E41" s="1">
        <v>1.3</v>
      </c>
      <c r="F41" s="1" t="s">
        <v>1</v>
      </c>
      <c r="G41" s="1" t="s">
        <v>8</v>
      </c>
      <c r="H41" s="1" t="s">
        <v>8</v>
      </c>
      <c r="I41" s="1" t="s">
        <v>9</v>
      </c>
      <c r="J41" s="7" t="s">
        <v>9</v>
      </c>
    </row>
    <row r="42" spans="2:10">
      <c r="B42" s="2">
        <v>5.5</v>
      </c>
      <c r="C42" s="2">
        <v>2.6</v>
      </c>
      <c r="D42" s="2">
        <v>4.4000000000000004</v>
      </c>
      <c r="E42" s="2">
        <v>1.2</v>
      </c>
      <c r="F42" s="2" t="s">
        <v>1</v>
      </c>
      <c r="G42" s="1" t="s">
        <v>8</v>
      </c>
      <c r="H42" s="1" t="s">
        <v>8</v>
      </c>
      <c r="I42" s="1" t="s">
        <v>9</v>
      </c>
      <c r="J42" s="7" t="s">
        <v>9</v>
      </c>
    </row>
    <row r="43" spans="2:10">
      <c r="B43" s="1">
        <v>6.1</v>
      </c>
      <c r="C43" s="1">
        <v>3</v>
      </c>
      <c r="D43" s="1">
        <v>4.5999999999999996</v>
      </c>
      <c r="E43" s="1">
        <v>1.4</v>
      </c>
      <c r="F43" s="1" t="s">
        <v>1</v>
      </c>
      <c r="G43" s="1" t="s">
        <v>9</v>
      </c>
      <c r="H43" s="1" t="s">
        <v>9</v>
      </c>
      <c r="I43" s="1" t="s">
        <v>9</v>
      </c>
      <c r="J43" s="7" t="s">
        <v>9</v>
      </c>
    </row>
    <row r="44" spans="2:10">
      <c r="B44" s="2">
        <v>5.8</v>
      </c>
      <c r="C44" s="2">
        <v>2.6</v>
      </c>
      <c r="D44" s="2">
        <v>4</v>
      </c>
      <c r="E44" s="2">
        <v>1.2</v>
      </c>
      <c r="F44" s="2" t="s">
        <v>1</v>
      </c>
      <c r="G44" s="1" t="s">
        <v>9</v>
      </c>
      <c r="H44" s="1" t="s">
        <v>8</v>
      </c>
      <c r="I44" s="1" t="s">
        <v>9</v>
      </c>
      <c r="J44" s="7" t="s">
        <v>9</v>
      </c>
    </row>
    <row r="45" spans="2:10">
      <c r="B45" s="1">
        <v>5</v>
      </c>
      <c r="C45" s="1">
        <v>2.2999999999999998</v>
      </c>
      <c r="D45" s="1">
        <v>3.3</v>
      </c>
      <c r="E45" s="1">
        <v>1</v>
      </c>
      <c r="F45" s="1" t="s">
        <v>1</v>
      </c>
      <c r="G45" s="1" t="s">
        <v>8</v>
      </c>
      <c r="H45" s="1" t="s">
        <v>8</v>
      </c>
      <c r="I45" s="1" t="s">
        <v>9</v>
      </c>
      <c r="J45" s="7" t="s">
        <v>9</v>
      </c>
    </row>
    <row r="46" spans="2:10">
      <c r="B46" s="2">
        <v>5.6</v>
      </c>
      <c r="C46" s="2">
        <v>2.7</v>
      </c>
      <c r="D46" s="2">
        <v>4.2</v>
      </c>
      <c r="E46" s="2">
        <v>1.3</v>
      </c>
      <c r="F46" s="2" t="s">
        <v>1</v>
      </c>
      <c r="G46" s="1" t="s">
        <v>9</v>
      </c>
      <c r="H46" s="1" t="s">
        <v>8</v>
      </c>
      <c r="I46" s="1" t="s">
        <v>9</v>
      </c>
      <c r="J46" s="7" t="s">
        <v>9</v>
      </c>
    </row>
    <row r="47" spans="2:10">
      <c r="B47" s="1">
        <v>5.7</v>
      </c>
      <c r="C47" s="1">
        <v>3</v>
      </c>
      <c r="D47" s="1">
        <v>4.2</v>
      </c>
      <c r="E47" s="1">
        <v>1.2</v>
      </c>
      <c r="F47" s="1" t="s">
        <v>1</v>
      </c>
      <c r="G47" s="1" t="s">
        <v>9</v>
      </c>
      <c r="H47" s="1" t="s">
        <v>9</v>
      </c>
      <c r="I47" s="1" t="s">
        <v>9</v>
      </c>
      <c r="J47" s="7" t="s">
        <v>9</v>
      </c>
    </row>
    <row r="48" spans="2:10">
      <c r="B48" s="2">
        <v>5.7</v>
      </c>
      <c r="C48" s="2">
        <v>2.9</v>
      </c>
      <c r="D48" s="2">
        <v>4.2</v>
      </c>
      <c r="E48" s="2">
        <v>1.3</v>
      </c>
      <c r="F48" s="2" t="s">
        <v>1</v>
      </c>
      <c r="G48" s="1" t="s">
        <v>9</v>
      </c>
      <c r="H48" s="1" t="s">
        <v>8</v>
      </c>
      <c r="I48" s="1" t="s">
        <v>9</v>
      </c>
      <c r="J48" s="7" t="s">
        <v>9</v>
      </c>
    </row>
    <row r="49" spans="2:21">
      <c r="B49" s="1">
        <v>6.2</v>
      </c>
      <c r="C49" s="1">
        <v>2.9</v>
      </c>
      <c r="D49" s="1">
        <v>4.3</v>
      </c>
      <c r="E49" s="1">
        <v>1.3</v>
      </c>
      <c r="F49" s="1" t="s">
        <v>1</v>
      </c>
      <c r="G49" s="1" t="s">
        <v>9</v>
      </c>
      <c r="H49" s="1" t="s">
        <v>8</v>
      </c>
      <c r="I49" s="1" t="s">
        <v>9</v>
      </c>
      <c r="J49" s="7" t="s">
        <v>9</v>
      </c>
    </row>
    <row r="50" spans="2:21">
      <c r="B50" s="2">
        <v>5.0999999999999996</v>
      </c>
      <c r="C50" s="2">
        <v>2.5</v>
      </c>
      <c r="D50" s="2">
        <v>3</v>
      </c>
      <c r="E50" s="2">
        <v>1.1000000000000001</v>
      </c>
      <c r="F50" s="2" t="s">
        <v>1</v>
      </c>
      <c r="G50" s="1" t="s">
        <v>8</v>
      </c>
      <c r="H50" s="1" t="s">
        <v>8</v>
      </c>
      <c r="I50" s="1" t="s">
        <v>9</v>
      </c>
      <c r="J50" s="7" t="s">
        <v>9</v>
      </c>
    </row>
    <row r="51" spans="2:21">
      <c r="B51" s="1">
        <v>5.7</v>
      </c>
      <c r="C51" s="1">
        <v>2.8</v>
      </c>
      <c r="D51" s="1">
        <v>4.0999999999999996</v>
      </c>
      <c r="E51" s="1">
        <v>1.3</v>
      </c>
      <c r="F51" s="1" t="s">
        <v>1</v>
      </c>
      <c r="G51" s="1" t="s">
        <v>9</v>
      </c>
      <c r="H51" s="1" t="s">
        <v>8</v>
      </c>
      <c r="I51" s="1" t="s">
        <v>9</v>
      </c>
      <c r="J51" s="7" t="s">
        <v>9</v>
      </c>
    </row>
    <row r="52" spans="2:21">
      <c r="B52" s="3">
        <v>4.9000000000000004</v>
      </c>
      <c r="C52" s="3">
        <v>2.5</v>
      </c>
      <c r="D52" s="3">
        <v>4.5</v>
      </c>
      <c r="E52" s="3">
        <v>1.7</v>
      </c>
      <c r="F52" s="3" t="s">
        <v>2</v>
      </c>
      <c r="G52" s="9" t="s">
        <v>8</v>
      </c>
      <c r="H52" s="9" t="s">
        <v>8</v>
      </c>
      <c r="I52" s="4" t="s">
        <v>9</v>
      </c>
      <c r="J52" s="5" t="s">
        <v>9</v>
      </c>
    </row>
    <row r="53" spans="2:21">
      <c r="B53" s="3">
        <v>6</v>
      </c>
      <c r="C53" s="3">
        <v>2.2000000000000002</v>
      </c>
      <c r="D53" s="3">
        <v>5</v>
      </c>
      <c r="E53" s="3">
        <v>1.5</v>
      </c>
      <c r="F53" s="3" t="s">
        <v>2</v>
      </c>
      <c r="G53" s="9" t="s">
        <v>9</v>
      </c>
      <c r="H53" s="9" t="s">
        <v>8</v>
      </c>
      <c r="I53" s="4" t="s">
        <v>10</v>
      </c>
      <c r="J53" s="5" t="s">
        <v>9</v>
      </c>
    </row>
    <row r="54" spans="2:21">
      <c r="B54" s="3">
        <v>7.2</v>
      </c>
      <c r="C54" s="3">
        <v>3</v>
      </c>
      <c r="D54" s="3">
        <v>5.8</v>
      </c>
      <c r="E54" s="3">
        <v>1.6</v>
      </c>
      <c r="F54" s="3" t="s">
        <v>2</v>
      </c>
      <c r="G54" s="9" t="s">
        <v>10</v>
      </c>
      <c r="H54" s="9" t="s">
        <v>9</v>
      </c>
      <c r="I54" s="4" t="s">
        <v>10</v>
      </c>
      <c r="J54" s="5" t="s">
        <v>9</v>
      </c>
    </row>
    <row r="55" spans="2:21">
      <c r="B55" s="3">
        <v>6.3</v>
      </c>
      <c r="C55" s="3">
        <v>2.8</v>
      </c>
      <c r="D55" s="3">
        <v>5.0999999999999996</v>
      </c>
      <c r="E55" s="3">
        <v>1.5</v>
      </c>
      <c r="F55" s="3" t="s">
        <v>2</v>
      </c>
      <c r="G55" s="9" t="s">
        <v>9</v>
      </c>
      <c r="H55" s="9" t="s">
        <v>8</v>
      </c>
      <c r="I55" s="4" t="s">
        <v>10</v>
      </c>
      <c r="J55" s="5" t="s">
        <v>9</v>
      </c>
    </row>
    <row r="56" spans="2:21">
      <c r="B56" s="2">
        <v>6.1</v>
      </c>
      <c r="C56" s="2">
        <v>2.6</v>
      </c>
      <c r="D56" s="2">
        <v>5.6</v>
      </c>
      <c r="E56" s="2">
        <v>1.4</v>
      </c>
      <c r="F56" s="2" t="s">
        <v>2</v>
      </c>
      <c r="G56" s="9" t="s">
        <v>9</v>
      </c>
      <c r="H56" s="9" t="s">
        <v>8</v>
      </c>
      <c r="I56" s="4" t="s">
        <v>10</v>
      </c>
      <c r="J56" s="7" t="s">
        <v>9</v>
      </c>
    </row>
    <row r="59" spans="2:21">
      <c r="D59" s="14" t="s">
        <v>15</v>
      </c>
      <c r="E59" s="12">
        <v>0.44500000000000001</v>
      </c>
      <c r="G59" s="15" t="s">
        <v>19</v>
      </c>
      <c r="H59" s="13">
        <v>3.0000000000000001E-3</v>
      </c>
    </row>
    <row r="61" spans="2:21">
      <c r="B61" s="24" t="s">
        <v>17</v>
      </c>
      <c r="C61" s="25">
        <v>0.33700000000000002</v>
      </c>
      <c r="M61" s="24" t="s">
        <v>18</v>
      </c>
      <c r="N61" s="25">
        <v>0.48499999999999999</v>
      </c>
    </row>
    <row r="62" spans="2:21">
      <c r="B62" s="44" t="s">
        <v>28</v>
      </c>
      <c r="C62" s="50" t="s">
        <v>29</v>
      </c>
      <c r="D62" s="50" t="s">
        <v>30</v>
      </c>
      <c r="E62" s="50" t="s">
        <v>31</v>
      </c>
      <c r="F62" s="50" t="s">
        <v>24</v>
      </c>
      <c r="G62" s="50" t="s">
        <v>32</v>
      </c>
      <c r="H62" s="50" t="s">
        <v>33</v>
      </c>
      <c r="I62" s="50" t="s">
        <v>34</v>
      </c>
      <c r="J62" s="43" t="s">
        <v>35</v>
      </c>
      <c r="M62" s="38" t="s">
        <v>28</v>
      </c>
      <c r="N62" s="38" t="s">
        <v>29</v>
      </c>
      <c r="O62" s="38" t="s">
        <v>30</v>
      </c>
      <c r="P62" s="38" t="s">
        <v>31</v>
      </c>
      <c r="Q62" s="38" t="s">
        <v>24</v>
      </c>
      <c r="R62" s="38" t="s">
        <v>32</v>
      </c>
      <c r="S62" s="38" t="s">
        <v>33</v>
      </c>
      <c r="T62" s="38" t="s">
        <v>34</v>
      </c>
      <c r="U62" s="38" t="s">
        <v>35</v>
      </c>
    </row>
    <row r="63" spans="2:21">
      <c r="B63" s="29">
        <v>7</v>
      </c>
      <c r="C63" s="22">
        <v>3.2</v>
      </c>
      <c r="D63" s="22">
        <v>4.7</v>
      </c>
      <c r="E63" s="22">
        <v>1.4</v>
      </c>
      <c r="F63" s="22" t="s">
        <v>1</v>
      </c>
      <c r="G63" s="23" t="s">
        <v>10</v>
      </c>
      <c r="H63" s="61" t="s">
        <v>9</v>
      </c>
      <c r="I63" s="18" t="s">
        <v>9</v>
      </c>
      <c r="J63" s="30" t="s">
        <v>9</v>
      </c>
      <c r="M63" s="18">
        <v>5.5</v>
      </c>
      <c r="N63" s="18">
        <v>2.2999999999999998</v>
      </c>
      <c r="O63" s="18">
        <v>4</v>
      </c>
      <c r="P63" s="18">
        <v>1.3</v>
      </c>
      <c r="Q63" s="18" t="s">
        <v>1</v>
      </c>
      <c r="R63" s="18" t="s">
        <v>8</v>
      </c>
      <c r="S63" s="61" t="s">
        <v>8</v>
      </c>
      <c r="T63" s="18" t="s">
        <v>9</v>
      </c>
      <c r="U63" s="21" t="s">
        <v>9</v>
      </c>
    </row>
    <row r="64" spans="2:21">
      <c r="B64" s="31">
        <v>6.4</v>
      </c>
      <c r="C64" s="18">
        <v>3.2</v>
      </c>
      <c r="D64" s="18">
        <v>4.5</v>
      </c>
      <c r="E64" s="18">
        <v>1.5</v>
      </c>
      <c r="F64" s="18" t="s">
        <v>1</v>
      </c>
      <c r="G64" s="23" t="s">
        <v>9</v>
      </c>
      <c r="H64" s="61" t="s">
        <v>9</v>
      </c>
      <c r="I64" s="18" t="s">
        <v>9</v>
      </c>
      <c r="J64" s="30" t="s">
        <v>9</v>
      </c>
      <c r="M64" s="22">
        <v>6.5</v>
      </c>
      <c r="N64" s="22">
        <v>2.8</v>
      </c>
      <c r="O64" s="22">
        <v>4.5999999999999996</v>
      </c>
      <c r="P64" s="22">
        <v>1.5</v>
      </c>
      <c r="Q64" s="22" t="s">
        <v>1</v>
      </c>
      <c r="R64" s="18" t="s">
        <v>9</v>
      </c>
      <c r="S64" s="61" t="s">
        <v>8</v>
      </c>
      <c r="T64" s="18" t="s">
        <v>9</v>
      </c>
      <c r="U64" s="21" t="s">
        <v>9</v>
      </c>
    </row>
    <row r="65" spans="2:21">
      <c r="B65" s="29">
        <v>6.9</v>
      </c>
      <c r="C65" s="22">
        <v>3.1</v>
      </c>
      <c r="D65" s="22">
        <v>4.9000000000000004</v>
      </c>
      <c r="E65" s="22">
        <v>1.5</v>
      </c>
      <c r="F65" s="22" t="s">
        <v>1</v>
      </c>
      <c r="G65" s="23" t="s">
        <v>10</v>
      </c>
      <c r="H65" s="61" t="s">
        <v>9</v>
      </c>
      <c r="I65" s="18" t="s">
        <v>10</v>
      </c>
      <c r="J65" s="30" t="s">
        <v>9</v>
      </c>
      <c r="M65" s="18">
        <v>5.7</v>
      </c>
      <c r="N65" s="18">
        <v>2.8</v>
      </c>
      <c r="O65" s="18">
        <v>4.5</v>
      </c>
      <c r="P65" s="18">
        <v>1.3</v>
      </c>
      <c r="Q65" s="18" t="s">
        <v>1</v>
      </c>
      <c r="R65" s="18" t="s">
        <v>9</v>
      </c>
      <c r="S65" s="61" t="s">
        <v>8</v>
      </c>
      <c r="T65" s="18" t="s">
        <v>9</v>
      </c>
      <c r="U65" s="21" t="s">
        <v>9</v>
      </c>
    </row>
    <row r="66" spans="2:21">
      <c r="B66" s="29">
        <v>6.3</v>
      </c>
      <c r="C66" s="22">
        <v>3.3</v>
      </c>
      <c r="D66" s="22">
        <v>4.7</v>
      </c>
      <c r="E66" s="22">
        <v>1.6</v>
      </c>
      <c r="F66" s="22" t="s">
        <v>1</v>
      </c>
      <c r="G66" s="23" t="s">
        <v>9</v>
      </c>
      <c r="H66" s="61" t="s">
        <v>9</v>
      </c>
      <c r="I66" s="18" t="s">
        <v>9</v>
      </c>
      <c r="J66" s="30" t="s">
        <v>9</v>
      </c>
      <c r="M66" s="18">
        <v>4.9000000000000004</v>
      </c>
      <c r="N66" s="18">
        <v>2.4</v>
      </c>
      <c r="O66" s="18">
        <v>3.3</v>
      </c>
      <c r="P66" s="18">
        <v>1</v>
      </c>
      <c r="Q66" s="18" t="s">
        <v>1</v>
      </c>
      <c r="R66" s="18" t="s">
        <v>8</v>
      </c>
      <c r="S66" s="61" t="s">
        <v>8</v>
      </c>
      <c r="T66" s="18" t="s">
        <v>9</v>
      </c>
      <c r="U66" s="21" t="s">
        <v>9</v>
      </c>
    </row>
    <row r="67" spans="2:21">
      <c r="B67" s="31">
        <v>5.9</v>
      </c>
      <c r="C67" s="18">
        <v>3</v>
      </c>
      <c r="D67" s="18">
        <v>4.2</v>
      </c>
      <c r="E67" s="18">
        <v>1.5</v>
      </c>
      <c r="F67" s="18" t="s">
        <v>1</v>
      </c>
      <c r="G67" s="23" t="s">
        <v>9</v>
      </c>
      <c r="H67" s="61" t="s">
        <v>9</v>
      </c>
      <c r="I67" s="18" t="s">
        <v>9</v>
      </c>
      <c r="J67" s="30" t="s">
        <v>9</v>
      </c>
      <c r="M67" s="22">
        <v>6.6</v>
      </c>
      <c r="N67" s="22">
        <v>2.9</v>
      </c>
      <c r="O67" s="22">
        <v>4.5999999999999996</v>
      </c>
      <c r="P67" s="22">
        <v>1.3</v>
      </c>
      <c r="Q67" s="22" t="s">
        <v>1</v>
      </c>
      <c r="R67" s="18" t="s">
        <v>10</v>
      </c>
      <c r="S67" s="61" t="s">
        <v>8</v>
      </c>
      <c r="T67" s="18" t="s">
        <v>9</v>
      </c>
      <c r="U67" s="21" t="s">
        <v>9</v>
      </c>
    </row>
    <row r="68" spans="2:21">
      <c r="B68" s="31">
        <v>6.7</v>
      </c>
      <c r="C68" s="18">
        <v>3.1</v>
      </c>
      <c r="D68" s="18">
        <v>4.4000000000000004</v>
      </c>
      <c r="E68" s="18">
        <v>1.4</v>
      </c>
      <c r="F68" s="18" t="s">
        <v>1</v>
      </c>
      <c r="G68" s="23" t="s">
        <v>10</v>
      </c>
      <c r="H68" s="61" t="s">
        <v>9</v>
      </c>
      <c r="I68" s="18" t="s">
        <v>9</v>
      </c>
      <c r="J68" s="30" t="s">
        <v>9</v>
      </c>
      <c r="M68" s="18">
        <v>5.2</v>
      </c>
      <c r="N68" s="18">
        <v>2.7</v>
      </c>
      <c r="O68" s="18">
        <v>3.9</v>
      </c>
      <c r="P68" s="18">
        <v>1.4</v>
      </c>
      <c r="Q68" s="18" t="s">
        <v>1</v>
      </c>
      <c r="R68" s="18" t="s">
        <v>8</v>
      </c>
      <c r="S68" s="61" t="s">
        <v>8</v>
      </c>
      <c r="T68" s="18" t="s">
        <v>9</v>
      </c>
      <c r="U68" s="21" t="s">
        <v>9</v>
      </c>
    </row>
    <row r="69" spans="2:21">
      <c r="B69" s="29">
        <v>5.6</v>
      </c>
      <c r="C69" s="22">
        <v>3</v>
      </c>
      <c r="D69" s="22">
        <v>4.5</v>
      </c>
      <c r="E69" s="22">
        <v>1.5</v>
      </c>
      <c r="F69" s="22" t="s">
        <v>1</v>
      </c>
      <c r="G69" s="23" t="s">
        <v>9</v>
      </c>
      <c r="H69" s="61" t="s">
        <v>9</v>
      </c>
      <c r="I69" s="18" t="s">
        <v>9</v>
      </c>
      <c r="J69" s="30" t="s">
        <v>9</v>
      </c>
      <c r="M69" s="22">
        <v>5</v>
      </c>
      <c r="N69" s="22">
        <v>2</v>
      </c>
      <c r="O69" s="22">
        <v>3.5</v>
      </c>
      <c r="P69" s="22">
        <v>1</v>
      </c>
      <c r="Q69" s="22" t="s">
        <v>1</v>
      </c>
      <c r="R69" s="18" t="s">
        <v>8</v>
      </c>
      <c r="S69" s="61" t="s">
        <v>8</v>
      </c>
      <c r="T69" s="18" t="s">
        <v>9</v>
      </c>
      <c r="U69" s="21" t="s">
        <v>9</v>
      </c>
    </row>
    <row r="70" spans="2:21">
      <c r="B70" s="31">
        <v>6.6</v>
      </c>
      <c r="C70" s="18">
        <v>3</v>
      </c>
      <c r="D70" s="18">
        <v>4.4000000000000004</v>
      </c>
      <c r="E70" s="18">
        <v>1.4</v>
      </c>
      <c r="F70" s="18" t="s">
        <v>1</v>
      </c>
      <c r="G70" s="23" t="s">
        <v>10</v>
      </c>
      <c r="H70" s="61" t="s">
        <v>9</v>
      </c>
      <c r="I70" s="18" t="s">
        <v>9</v>
      </c>
      <c r="J70" s="30" t="s">
        <v>9</v>
      </c>
      <c r="M70" s="22">
        <v>6</v>
      </c>
      <c r="N70" s="22">
        <v>2.2000000000000002</v>
      </c>
      <c r="O70" s="22">
        <v>4</v>
      </c>
      <c r="P70" s="22">
        <v>1</v>
      </c>
      <c r="Q70" s="22" t="s">
        <v>1</v>
      </c>
      <c r="R70" s="18" t="s">
        <v>9</v>
      </c>
      <c r="S70" s="61" t="s">
        <v>8</v>
      </c>
      <c r="T70" s="18" t="s">
        <v>9</v>
      </c>
      <c r="U70" s="21" t="s">
        <v>9</v>
      </c>
    </row>
    <row r="71" spans="2:21">
      <c r="B71" s="31">
        <v>6.7</v>
      </c>
      <c r="C71" s="18">
        <v>3</v>
      </c>
      <c r="D71" s="18">
        <v>5</v>
      </c>
      <c r="E71" s="18">
        <v>1.7</v>
      </c>
      <c r="F71" s="18" t="s">
        <v>1</v>
      </c>
      <c r="G71" s="23" t="s">
        <v>10</v>
      </c>
      <c r="H71" s="61" t="s">
        <v>9</v>
      </c>
      <c r="I71" s="18" t="s">
        <v>10</v>
      </c>
      <c r="J71" s="30" t="s">
        <v>9</v>
      </c>
      <c r="M71" s="18">
        <v>6.1</v>
      </c>
      <c r="N71" s="18">
        <v>2.9</v>
      </c>
      <c r="O71" s="18">
        <v>4.7</v>
      </c>
      <c r="P71" s="18">
        <v>1.4</v>
      </c>
      <c r="Q71" s="18" t="s">
        <v>1</v>
      </c>
      <c r="R71" s="18" t="s">
        <v>9</v>
      </c>
      <c r="S71" s="61" t="s">
        <v>8</v>
      </c>
      <c r="T71" s="18" t="s">
        <v>9</v>
      </c>
      <c r="U71" s="21" t="s">
        <v>9</v>
      </c>
    </row>
    <row r="72" spans="2:21">
      <c r="B72" s="29">
        <v>5.4</v>
      </c>
      <c r="C72" s="22">
        <v>3</v>
      </c>
      <c r="D72" s="22">
        <v>4.5</v>
      </c>
      <c r="E72" s="22">
        <v>1.5</v>
      </c>
      <c r="F72" s="22" t="s">
        <v>1</v>
      </c>
      <c r="G72" s="23" t="s">
        <v>8</v>
      </c>
      <c r="H72" s="61" t="s">
        <v>9</v>
      </c>
      <c r="I72" s="18" t="s">
        <v>9</v>
      </c>
      <c r="J72" s="30" t="s">
        <v>9</v>
      </c>
      <c r="M72" s="22">
        <v>5.6</v>
      </c>
      <c r="N72" s="22">
        <v>2.9</v>
      </c>
      <c r="O72" s="22">
        <v>3.6</v>
      </c>
      <c r="P72" s="22">
        <v>1.3</v>
      </c>
      <c r="Q72" s="22" t="s">
        <v>1</v>
      </c>
      <c r="R72" s="18" t="s">
        <v>9</v>
      </c>
      <c r="S72" s="61" t="s">
        <v>8</v>
      </c>
      <c r="T72" s="18" t="s">
        <v>9</v>
      </c>
      <c r="U72" s="21" t="s">
        <v>9</v>
      </c>
    </row>
    <row r="73" spans="2:21">
      <c r="B73" s="29">
        <v>6</v>
      </c>
      <c r="C73" s="22">
        <v>3.4</v>
      </c>
      <c r="D73" s="22">
        <v>4.5</v>
      </c>
      <c r="E73" s="22">
        <v>1.6</v>
      </c>
      <c r="F73" s="22" t="s">
        <v>1</v>
      </c>
      <c r="G73" s="23" t="s">
        <v>9</v>
      </c>
      <c r="H73" s="61" t="s">
        <v>9</v>
      </c>
      <c r="I73" s="18" t="s">
        <v>9</v>
      </c>
      <c r="J73" s="30" t="s">
        <v>9</v>
      </c>
      <c r="M73" s="18">
        <v>5.8</v>
      </c>
      <c r="N73" s="18">
        <v>2.7</v>
      </c>
      <c r="O73" s="18">
        <v>4.0999999999999996</v>
      </c>
      <c r="P73" s="18">
        <v>1</v>
      </c>
      <c r="Q73" s="18" t="s">
        <v>1</v>
      </c>
      <c r="R73" s="18" t="s">
        <v>9</v>
      </c>
      <c r="S73" s="61" t="s">
        <v>8</v>
      </c>
      <c r="T73" s="18" t="s">
        <v>9</v>
      </c>
      <c r="U73" s="21" t="s">
        <v>9</v>
      </c>
    </row>
    <row r="74" spans="2:21">
      <c r="B74" s="29">
        <v>6.7</v>
      </c>
      <c r="C74" s="22">
        <v>3.1</v>
      </c>
      <c r="D74" s="22">
        <v>4.7</v>
      </c>
      <c r="E74" s="22">
        <v>1.5</v>
      </c>
      <c r="F74" s="22" t="s">
        <v>1</v>
      </c>
      <c r="G74" s="23" t="s">
        <v>10</v>
      </c>
      <c r="H74" s="61" t="s">
        <v>9</v>
      </c>
      <c r="I74" s="18" t="s">
        <v>9</v>
      </c>
      <c r="J74" s="30" t="s">
        <v>9</v>
      </c>
      <c r="M74" s="22">
        <v>6.2</v>
      </c>
      <c r="N74" s="22">
        <v>2.2000000000000002</v>
      </c>
      <c r="O74" s="22">
        <v>4.5</v>
      </c>
      <c r="P74" s="22">
        <v>1.5</v>
      </c>
      <c r="Q74" s="22" t="s">
        <v>1</v>
      </c>
      <c r="R74" s="18" t="s">
        <v>9</v>
      </c>
      <c r="S74" s="61" t="s">
        <v>8</v>
      </c>
      <c r="T74" s="18" t="s">
        <v>9</v>
      </c>
      <c r="U74" s="21" t="s">
        <v>9</v>
      </c>
    </row>
    <row r="75" spans="2:21">
      <c r="B75" s="29">
        <v>5.6</v>
      </c>
      <c r="C75" s="22">
        <v>3</v>
      </c>
      <c r="D75" s="22">
        <v>4.0999999999999996</v>
      </c>
      <c r="E75" s="22">
        <v>1.3</v>
      </c>
      <c r="F75" s="22" t="s">
        <v>1</v>
      </c>
      <c r="G75" s="23" t="s">
        <v>9</v>
      </c>
      <c r="H75" s="61" t="s">
        <v>9</v>
      </c>
      <c r="I75" s="18" t="s">
        <v>9</v>
      </c>
      <c r="J75" s="30" t="s">
        <v>9</v>
      </c>
      <c r="M75" s="18">
        <v>5.6</v>
      </c>
      <c r="N75" s="18">
        <v>2.5</v>
      </c>
      <c r="O75" s="18">
        <v>3.9</v>
      </c>
      <c r="P75" s="18">
        <v>1.1000000000000001</v>
      </c>
      <c r="Q75" s="18" t="s">
        <v>1</v>
      </c>
      <c r="R75" s="18" t="s">
        <v>9</v>
      </c>
      <c r="S75" s="61" t="s">
        <v>8</v>
      </c>
      <c r="T75" s="18" t="s">
        <v>9</v>
      </c>
      <c r="U75" s="21" t="s">
        <v>9</v>
      </c>
    </row>
    <row r="76" spans="2:21">
      <c r="B76" s="29">
        <v>6.1</v>
      </c>
      <c r="C76" s="22">
        <v>3</v>
      </c>
      <c r="D76" s="22">
        <v>4.5999999999999996</v>
      </c>
      <c r="E76" s="22">
        <v>1.4</v>
      </c>
      <c r="F76" s="22" t="s">
        <v>1</v>
      </c>
      <c r="G76" s="23" t="s">
        <v>9</v>
      </c>
      <c r="H76" s="61" t="s">
        <v>9</v>
      </c>
      <c r="I76" s="18" t="s">
        <v>9</v>
      </c>
      <c r="J76" s="30" t="s">
        <v>9</v>
      </c>
      <c r="M76" s="18">
        <v>6.1</v>
      </c>
      <c r="N76" s="18">
        <v>2.8</v>
      </c>
      <c r="O76" s="18">
        <v>4</v>
      </c>
      <c r="P76" s="18">
        <v>1.3</v>
      </c>
      <c r="Q76" s="18" t="s">
        <v>1</v>
      </c>
      <c r="R76" s="18" t="s">
        <v>9</v>
      </c>
      <c r="S76" s="61" t="s">
        <v>8</v>
      </c>
      <c r="T76" s="18" t="s">
        <v>9</v>
      </c>
      <c r="U76" s="21" t="s">
        <v>9</v>
      </c>
    </row>
    <row r="77" spans="2:21">
      <c r="B77" s="29">
        <v>5.7</v>
      </c>
      <c r="C77" s="22">
        <v>3</v>
      </c>
      <c r="D77" s="22">
        <v>4.2</v>
      </c>
      <c r="E77" s="22">
        <v>1.2</v>
      </c>
      <c r="F77" s="22" t="s">
        <v>1</v>
      </c>
      <c r="G77" s="23" t="s">
        <v>9</v>
      </c>
      <c r="H77" s="61" t="s">
        <v>9</v>
      </c>
      <c r="I77" s="18" t="s">
        <v>9</v>
      </c>
      <c r="J77" s="30" t="s">
        <v>9</v>
      </c>
      <c r="M77" s="22">
        <v>6.3</v>
      </c>
      <c r="N77" s="22">
        <v>2.5</v>
      </c>
      <c r="O77" s="22">
        <v>4.9000000000000004</v>
      </c>
      <c r="P77" s="22">
        <v>1.5</v>
      </c>
      <c r="Q77" s="22" t="s">
        <v>1</v>
      </c>
      <c r="R77" s="18" t="s">
        <v>9</v>
      </c>
      <c r="S77" s="61" t="s">
        <v>8</v>
      </c>
      <c r="T77" s="18" t="s">
        <v>10</v>
      </c>
      <c r="U77" s="21" t="s">
        <v>9</v>
      </c>
    </row>
    <row r="78" spans="2:21">
      <c r="B78" s="32">
        <v>7.2</v>
      </c>
      <c r="C78" s="33">
        <v>3</v>
      </c>
      <c r="D78" s="33">
        <v>5.8</v>
      </c>
      <c r="E78" s="33">
        <v>1.6</v>
      </c>
      <c r="F78" s="33" t="s">
        <v>2</v>
      </c>
      <c r="G78" s="34" t="s">
        <v>10</v>
      </c>
      <c r="H78" s="63" t="s">
        <v>9</v>
      </c>
      <c r="I78" s="47" t="s">
        <v>10</v>
      </c>
      <c r="J78" s="37" t="s">
        <v>9</v>
      </c>
      <c r="M78" s="18">
        <v>6.1</v>
      </c>
      <c r="N78" s="18">
        <v>2.8</v>
      </c>
      <c r="O78" s="18">
        <v>4.7</v>
      </c>
      <c r="P78" s="18">
        <v>1.2</v>
      </c>
      <c r="Q78" s="18" t="s">
        <v>1</v>
      </c>
      <c r="R78" s="18" t="s">
        <v>9</v>
      </c>
      <c r="S78" s="61" t="s">
        <v>8</v>
      </c>
      <c r="T78" s="18" t="s">
        <v>9</v>
      </c>
      <c r="U78" s="21" t="s">
        <v>9</v>
      </c>
    </row>
    <row r="79" spans="2:21">
      <c r="M79" s="22">
        <v>6.4</v>
      </c>
      <c r="N79" s="22">
        <v>2.9</v>
      </c>
      <c r="O79" s="22">
        <v>4.3</v>
      </c>
      <c r="P79" s="22">
        <v>1.3</v>
      </c>
      <c r="Q79" s="22" t="s">
        <v>1</v>
      </c>
      <c r="R79" s="18" t="s">
        <v>9</v>
      </c>
      <c r="S79" s="61" t="s">
        <v>8</v>
      </c>
      <c r="T79" s="18" t="s">
        <v>9</v>
      </c>
      <c r="U79" s="21" t="s">
        <v>9</v>
      </c>
    </row>
    <row r="80" spans="2:21">
      <c r="M80" s="22">
        <v>6.8</v>
      </c>
      <c r="N80" s="22">
        <v>2.8</v>
      </c>
      <c r="O80" s="22">
        <v>4.8</v>
      </c>
      <c r="P80" s="22">
        <v>1.4</v>
      </c>
      <c r="Q80" s="22" t="s">
        <v>1</v>
      </c>
      <c r="R80" s="18" t="s">
        <v>10</v>
      </c>
      <c r="S80" s="61" t="s">
        <v>8</v>
      </c>
      <c r="T80" s="18" t="s">
        <v>9</v>
      </c>
      <c r="U80" s="21" t="s">
        <v>9</v>
      </c>
    </row>
    <row r="81" spans="13:21">
      <c r="M81" s="22">
        <v>6</v>
      </c>
      <c r="N81" s="22">
        <v>2.9</v>
      </c>
      <c r="O81" s="22">
        <v>4.5</v>
      </c>
      <c r="P81" s="22">
        <v>1.5</v>
      </c>
      <c r="Q81" s="22" t="s">
        <v>1</v>
      </c>
      <c r="R81" s="18" t="s">
        <v>9</v>
      </c>
      <c r="S81" s="61" t="s">
        <v>8</v>
      </c>
      <c r="T81" s="18" t="s">
        <v>9</v>
      </c>
      <c r="U81" s="21" t="s">
        <v>9</v>
      </c>
    </row>
    <row r="82" spans="13:21">
      <c r="M82" s="18">
        <v>5.7</v>
      </c>
      <c r="N82" s="18">
        <v>2.6</v>
      </c>
      <c r="O82" s="18">
        <v>3.5</v>
      </c>
      <c r="P82" s="18">
        <v>1</v>
      </c>
      <c r="Q82" s="18" t="s">
        <v>1</v>
      </c>
      <c r="R82" s="18" t="s">
        <v>9</v>
      </c>
      <c r="S82" s="61" t="s">
        <v>8</v>
      </c>
      <c r="T82" s="18" t="s">
        <v>9</v>
      </c>
      <c r="U82" s="21" t="s">
        <v>9</v>
      </c>
    </row>
    <row r="83" spans="13:21">
      <c r="M83" s="22">
        <v>5.5</v>
      </c>
      <c r="N83" s="22">
        <v>2.4</v>
      </c>
      <c r="O83" s="22">
        <v>3.8</v>
      </c>
      <c r="P83" s="22">
        <v>1.1000000000000001</v>
      </c>
      <c r="Q83" s="22" t="s">
        <v>1</v>
      </c>
      <c r="R83" s="18" t="s">
        <v>8</v>
      </c>
      <c r="S83" s="61" t="s">
        <v>8</v>
      </c>
      <c r="T83" s="18" t="s">
        <v>9</v>
      </c>
      <c r="U83" s="21" t="s">
        <v>9</v>
      </c>
    </row>
    <row r="84" spans="13:21">
      <c r="M84" s="18">
        <v>5.5</v>
      </c>
      <c r="N84" s="18">
        <v>2.4</v>
      </c>
      <c r="O84" s="18">
        <v>3.7</v>
      </c>
      <c r="P84" s="18">
        <v>1</v>
      </c>
      <c r="Q84" s="18" t="s">
        <v>1</v>
      </c>
      <c r="R84" s="18" t="s">
        <v>8</v>
      </c>
      <c r="S84" s="61" t="s">
        <v>8</v>
      </c>
      <c r="T84" s="18" t="s">
        <v>9</v>
      </c>
      <c r="U84" s="21" t="s">
        <v>9</v>
      </c>
    </row>
    <row r="85" spans="13:21">
      <c r="M85" s="22">
        <v>5.8</v>
      </c>
      <c r="N85" s="22">
        <v>2.7</v>
      </c>
      <c r="O85" s="22">
        <v>3.9</v>
      </c>
      <c r="P85" s="22">
        <v>1.2</v>
      </c>
      <c r="Q85" s="22" t="s">
        <v>1</v>
      </c>
      <c r="R85" s="18" t="s">
        <v>9</v>
      </c>
      <c r="S85" s="61" t="s">
        <v>8</v>
      </c>
      <c r="T85" s="18" t="s">
        <v>9</v>
      </c>
      <c r="U85" s="21" t="s">
        <v>9</v>
      </c>
    </row>
    <row r="86" spans="13:21">
      <c r="M86" s="18">
        <v>6</v>
      </c>
      <c r="N86" s="18">
        <v>2.7</v>
      </c>
      <c r="O86" s="18">
        <v>5.0999999999999996</v>
      </c>
      <c r="P86" s="18">
        <v>1.6</v>
      </c>
      <c r="Q86" s="18" t="s">
        <v>1</v>
      </c>
      <c r="R86" s="18" t="s">
        <v>9</v>
      </c>
      <c r="S86" s="61" t="s">
        <v>8</v>
      </c>
      <c r="T86" s="18" t="s">
        <v>10</v>
      </c>
      <c r="U86" s="21" t="s">
        <v>9</v>
      </c>
    </row>
    <row r="87" spans="13:21">
      <c r="M87" s="18">
        <v>6.3</v>
      </c>
      <c r="N87" s="18">
        <v>2.2999999999999998</v>
      </c>
      <c r="O87" s="18">
        <v>4.4000000000000004</v>
      </c>
      <c r="P87" s="18">
        <v>1.3</v>
      </c>
      <c r="Q87" s="18" t="s">
        <v>1</v>
      </c>
      <c r="R87" s="18" t="s">
        <v>9</v>
      </c>
      <c r="S87" s="61" t="s">
        <v>8</v>
      </c>
      <c r="T87" s="18" t="s">
        <v>9</v>
      </c>
      <c r="U87" s="21" t="s">
        <v>9</v>
      </c>
    </row>
    <row r="88" spans="13:21">
      <c r="M88" s="18">
        <v>5.5</v>
      </c>
      <c r="N88" s="18">
        <v>2.5</v>
      </c>
      <c r="O88" s="18">
        <v>4</v>
      </c>
      <c r="P88" s="18">
        <v>1.3</v>
      </c>
      <c r="Q88" s="18" t="s">
        <v>1</v>
      </c>
      <c r="R88" s="18" t="s">
        <v>8</v>
      </c>
      <c r="S88" s="61" t="s">
        <v>8</v>
      </c>
      <c r="T88" s="18" t="s">
        <v>9</v>
      </c>
      <c r="U88" s="21" t="s">
        <v>9</v>
      </c>
    </row>
    <row r="89" spans="13:21">
      <c r="M89" s="22">
        <v>5.5</v>
      </c>
      <c r="N89" s="22">
        <v>2.6</v>
      </c>
      <c r="O89" s="22">
        <v>4.4000000000000004</v>
      </c>
      <c r="P89" s="22">
        <v>1.2</v>
      </c>
      <c r="Q89" s="22" t="s">
        <v>1</v>
      </c>
      <c r="R89" s="18" t="s">
        <v>8</v>
      </c>
      <c r="S89" s="61" t="s">
        <v>8</v>
      </c>
      <c r="T89" s="18" t="s">
        <v>9</v>
      </c>
      <c r="U89" s="21" t="s">
        <v>9</v>
      </c>
    </row>
    <row r="90" spans="13:21">
      <c r="M90" s="22">
        <v>5.8</v>
      </c>
      <c r="N90" s="22">
        <v>2.6</v>
      </c>
      <c r="O90" s="22">
        <v>4</v>
      </c>
      <c r="P90" s="22">
        <v>1.2</v>
      </c>
      <c r="Q90" s="22" t="s">
        <v>1</v>
      </c>
      <c r="R90" s="18" t="s">
        <v>9</v>
      </c>
      <c r="S90" s="61" t="s">
        <v>8</v>
      </c>
      <c r="T90" s="18" t="s">
        <v>9</v>
      </c>
      <c r="U90" s="21" t="s">
        <v>9</v>
      </c>
    </row>
    <row r="91" spans="13:21">
      <c r="M91" s="18">
        <v>5</v>
      </c>
      <c r="N91" s="18">
        <v>2.2999999999999998</v>
      </c>
      <c r="O91" s="18">
        <v>3.3</v>
      </c>
      <c r="P91" s="18">
        <v>1</v>
      </c>
      <c r="Q91" s="18" t="s">
        <v>1</v>
      </c>
      <c r="R91" s="18" t="s">
        <v>8</v>
      </c>
      <c r="S91" s="61" t="s">
        <v>8</v>
      </c>
      <c r="T91" s="18" t="s">
        <v>9</v>
      </c>
      <c r="U91" s="21" t="s">
        <v>9</v>
      </c>
    </row>
    <row r="92" spans="13:21">
      <c r="M92" s="22">
        <v>5.6</v>
      </c>
      <c r="N92" s="22">
        <v>2.7</v>
      </c>
      <c r="O92" s="22">
        <v>4.2</v>
      </c>
      <c r="P92" s="22">
        <v>1.3</v>
      </c>
      <c r="Q92" s="22" t="s">
        <v>1</v>
      </c>
      <c r="R92" s="18" t="s">
        <v>9</v>
      </c>
      <c r="S92" s="61" t="s">
        <v>8</v>
      </c>
      <c r="T92" s="18" t="s">
        <v>9</v>
      </c>
      <c r="U92" s="21" t="s">
        <v>9</v>
      </c>
    </row>
    <row r="93" spans="13:21">
      <c r="M93" s="22">
        <v>5.7</v>
      </c>
      <c r="N93" s="22">
        <v>2.9</v>
      </c>
      <c r="O93" s="22">
        <v>4.2</v>
      </c>
      <c r="P93" s="22">
        <v>1.3</v>
      </c>
      <c r="Q93" s="22" t="s">
        <v>1</v>
      </c>
      <c r="R93" s="18" t="s">
        <v>9</v>
      </c>
      <c r="S93" s="61" t="s">
        <v>8</v>
      </c>
      <c r="T93" s="18" t="s">
        <v>9</v>
      </c>
      <c r="U93" s="21" t="s">
        <v>9</v>
      </c>
    </row>
    <row r="94" spans="13:21">
      <c r="M94" s="18">
        <v>6.2</v>
      </c>
      <c r="N94" s="18">
        <v>2.9</v>
      </c>
      <c r="O94" s="18">
        <v>4.3</v>
      </c>
      <c r="P94" s="18">
        <v>1.3</v>
      </c>
      <c r="Q94" s="18" t="s">
        <v>1</v>
      </c>
      <c r="R94" s="18" t="s">
        <v>9</v>
      </c>
      <c r="S94" s="61" t="s">
        <v>8</v>
      </c>
      <c r="T94" s="18" t="s">
        <v>9</v>
      </c>
      <c r="U94" s="21" t="s">
        <v>9</v>
      </c>
    </row>
    <row r="95" spans="13:21">
      <c r="M95" s="22">
        <v>5.0999999999999996</v>
      </c>
      <c r="N95" s="22">
        <v>2.5</v>
      </c>
      <c r="O95" s="22">
        <v>3</v>
      </c>
      <c r="P95" s="22">
        <v>1.1000000000000001</v>
      </c>
      <c r="Q95" s="22" t="s">
        <v>1</v>
      </c>
      <c r="R95" s="18" t="s">
        <v>8</v>
      </c>
      <c r="S95" s="61" t="s">
        <v>8</v>
      </c>
      <c r="T95" s="18" t="s">
        <v>9</v>
      </c>
      <c r="U95" s="21" t="s">
        <v>9</v>
      </c>
    </row>
    <row r="96" spans="13:21">
      <c r="M96" s="18">
        <v>5.7</v>
      </c>
      <c r="N96" s="18">
        <v>2.8</v>
      </c>
      <c r="O96" s="18">
        <v>4.0999999999999996</v>
      </c>
      <c r="P96" s="18">
        <v>1.3</v>
      </c>
      <c r="Q96" s="18" t="s">
        <v>1</v>
      </c>
      <c r="R96" s="18" t="s">
        <v>9</v>
      </c>
      <c r="S96" s="61" t="s">
        <v>8</v>
      </c>
      <c r="T96" s="18" t="s">
        <v>9</v>
      </c>
      <c r="U96" s="21" t="s">
        <v>9</v>
      </c>
    </row>
    <row r="97" spans="13:21" hidden="1">
      <c r="M97" s="2">
        <v>4.9000000000000004</v>
      </c>
      <c r="N97" s="2">
        <v>2.5</v>
      </c>
      <c r="O97" s="2">
        <v>4.5</v>
      </c>
      <c r="P97" s="2">
        <v>1.7</v>
      </c>
      <c r="Q97" s="2" t="s">
        <v>2</v>
      </c>
      <c r="R97" s="8" t="s">
        <v>8</v>
      </c>
      <c r="S97" s="46" t="s">
        <v>8</v>
      </c>
      <c r="T97" s="1" t="s">
        <v>9</v>
      </c>
      <c r="U97" s="7" t="s">
        <v>9</v>
      </c>
    </row>
    <row r="98" spans="13:21" hidden="1">
      <c r="M98" s="3">
        <v>6</v>
      </c>
      <c r="N98" s="3">
        <v>2.2000000000000002</v>
      </c>
      <c r="O98" s="3">
        <v>5</v>
      </c>
      <c r="P98" s="3">
        <v>1.5</v>
      </c>
      <c r="Q98" s="3" t="s">
        <v>2</v>
      </c>
      <c r="R98" s="9" t="s">
        <v>9</v>
      </c>
      <c r="S98" s="10" t="s">
        <v>8</v>
      </c>
      <c r="T98" s="4" t="s">
        <v>10</v>
      </c>
      <c r="U98" s="5" t="s">
        <v>9</v>
      </c>
    </row>
    <row r="99" spans="13:21" hidden="1">
      <c r="M99" s="3">
        <v>6.3</v>
      </c>
      <c r="N99" s="3">
        <v>2.8</v>
      </c>
      <c r="O99" s="3">
        <v>5.0999999999999996</v>
      </c>
      <c r="P99" s="3">
        <v>1.5</v>
      </c>
      <c r="Q99" s="3" t="s">
        <v>2</v>
      </c>
      <c r="R99" s="9" t="s">
        <v>9</v>
      </c>
      <c r="S99" s="10" t="s">
        <v>8</v>
      </c>
      <c r="T99" s="4" t="s">
        <v>10</v>
      </c>
      <c r="U99" s="5" t="s">
        <v>9</v>
      </c>
    </row>
    <row r="100" spans="13:21" hidden="1">
      <c r="M100" s="2">
        <v>6.1</v>
      </c>
      <c r="N100" s="2">
        <v>2.6</v>
      </c>
      <c r="O100" s="2">
        <v>5.6</v>
      </c>
      <c r="P100" s="2">
        <v>1.4</v>
      </c>
      <c r="Q100" s="2" t="s">
        <v>2</v>
      </c>
      <c r="R100" s="9" t="s">
        <v>9</v>
      </c>
      <c r="S100" s="10" t="s">
        <v>8</v>
      </c>
      <c r="T100" s="4" t="s">
        <v>10</v>
      </c>
      <c r="U100" s="7" t="s">
        <v>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A169-4906-4715-B3F8-44FAB398DEA5}">
  <dimension ref="B2:U108"/>
  <sheetViews>
    <sheetView topLeftCell="A49" workbookViewId="0">
      <selection activeCell="L47" sqref="L47"/>
    </sheetView>
  </sheetViews>
  <sheetFormatPr baseColWidth="10" defaultRowHeight="15"/>
  <cols>
    <col min="2" max="2" width="18.7109375" customWidth="1"/>
    <col min="3" max="3" width="17" customWidth="1"/>
    <col min="4" max="4" width="18.7109375" customWidth="1"/>
    <col min="5" max="5" width="16.85546875" customWidth="1"/>
    <col min="7" max="7" width="22.140625" customWidth="1"/>
    <col min="8" max="8" width="19.85546875" customWidth="1"/>
    <col min="9" max="9" width="22" customWidth="1"/>
    <col min="10" max="10" width="19.7109375" customWidth="1"/>
    <col min="13" max="13" width="18.7109375" customWidth="1"/>
    <col min="14" max="14" width="17" customWidth="1"/>
    <col min="15" max="15" width="18.7109375" customWidth="1"/>
    <col min="16" max="16" width="16.85546875" customWidth="1"/>
    <col min="18" max="18" width="19.7109375" customWidth="1"/>
    <col min="19" max="19" width="18" customWidth="1"/>
    <col min="20" max="20" width="19.7109375" customWidth="1"/>
    <col min="21" max="21" width="17.85546875" customWidth="1"/>
    <col min="24" max="24" width="18.7109375" customWidth="1"/>
    <col min="25" max="25" width="17" customWidth="1"/>
    <col min="26" max="26" width="18.7109375" customWidth="1"/>
    <col min="27" max="27" width="16.85546875" customWidth="1"/>
    <col min="29" max="29" width="19.7109375" customWidth="1"/>
    <col min="30" max="30" width="18" customWidth="1"/>
    <col min="31" max="31" width="19.7109375" customWidth="1"/>
    <col min="32" max="32" width="17.85546875" customWidth="1"/>
  </cols>
  <sheetData>
    <row r="2" spans="2:10">
      <c r="B2" t="s">
        <v>28</v>
      </c>
      <c r="C2" t="s">
        <v>29</v>
      </c>
      <c r="D2" t="s">
        <v>30</v>
      </c>
      <c r="E2" t="s">
        <v>31</v>
      </c>
      <c r="F2" t="s">
        <v>24</v>
      </c>
      <c r="G2" t="s">
        <v>32</v>
      </c>
      <c r="H2" t="s">
        <v>33</v>
      </c>
      <c r="I2" t="s">
        <v>34</v>
      </c>
      <c r="J2" t="s">
        <v>35</v>
      </c>
    </row>
    <row r="3" spans="2:10">
      <c r="B3" s="2">
        <v>7</v>
      </c>
      <c r="C3" s="2">
        <v>3.2</v>
      </c>
      <c r="D3" s="2">
        <v>4.7</v>
      </c>
      <c r="E3" s="2">
        <v>1.4</v>
      </c>
      <c r="F3" s="2" t="s">
        <v>1</v>
      </c>
      <c r="G3" s="1" t="s">
        <v>10</v>
      </c>
      <c r="H3" s="1" t="s">
        <v>9</v>
      </c>
      <c r="I3" s="1" t="s">
        <v>9</v>
      </c>
      <c r="J3" s="7" t="s">
        <v>9</v>
      </c>
    </row>
    <row r="4" spans="2:10">
      <c r="B4" s="1">
        <v>6.4</v>
      </c>
      <c r="C4" s="1">
        <v>3.2</v>
      </c>
      <c r="D4" s="1">
        <v>4.5</v>
      </c>
      <c r="E4" s="1">
        <v>1.5</v>
      </c>
      <c r="F4" s="1" t="s">
        <v>1</v>
      </c>
      <c r="G4" s="1" t="s">
        <v>9</v>
      </c>
      <c r="H4" s="1" t="s">
        <v>9</v>
      </c>
      <c r="I4" s="1" t="s">
        <v>9</v>
      </c>
      <c r="J4" s="7" t="s">
        <v>9</v>
      </c>
    </row>
    <row r="5" spans="2:10">
      <c r="B5" s="2">
        <v>6.9</v>
      </c>
      <c r="C5" s="2">
        <v>3.1</v>
      </c>
      <c r="D5" s="2">
        <v>4.9000000000000004</v>
      </c>
      <c r="E5" s="2">
        <v>1.5</v>
      </c>
      <c r="F5" s="2" t="s">
        <v>1</v>
      </c>
      <c r="G5" s="1" t="s">
        <v>10</v>
      </c>
      <c r="H5" s="1" t="s">
        <v>9</v>
      </c>
      <c r="I5" s="1" t="s">
        <v>10</v>
      </c>
      <c r="J5" s="7" t="s">
        <v>9</v>
      </c>
    </row>
    <row r="6" spans="2:10">
      <c r="B6" s="1">
        <v>5.5</v>
      </c>
      <c r="C6" s="1">
        <v>2.2999999999999998</v>
      </c>
      <c r="D6" s="1">
        <v>4</v>
      </c>
      <c r="E6" s="1">
        <v>1.3</v>
      </c>
      <c r="F6" s="1" t="s">
        <v>1</v>
      </c>
      <c r="G6" s="1" t="s">
        <v>8</v>
      </c>
      <c r="H6" s="1" t="s">
        <v>8</v>
      </c>
      <c r="I6" s="1" t="s">
        <v>9</v>
      </c>
      <c r="J6" s="7" t="s">
        <v>9</v>
      </c>
    </row>
    <row r="7" spans="2:10">
      <c r="B7" s="2">
        <v>6.5</v>
      </c>
      <c r="C7" s="2">
        <v>2.8</v>
      </c>
      <c r="D7" s="2">
        <v>4.5999999999999996</v>
      </c>
      <c r="E7" s="2">
        <v>1.5</v>
      </c>
      <c r="F7" s="2" t="s">
        <v>1</v>
      </c>
      <c r="G7" s="1" t="s">
        <v>9</v>
      </c>
      <c r="H7" s="1" t="s">
        <v>8</v>
      </c>
      <c r="I7" s="1" t="s">
        <v>9</v>
      </c>
      <c r="J7" s="7" t="s">
        <v>9</v>
      </c>
    </row>
    <row r="8" spans="2:10">
      <c r="B8" s="1">
        <v>5.7</v>
      </c>
      <c r="C8" s="1">
        <v>2.8</v>
      </c>
      <c r="D8" s="1">
        <v>4.5</v>
      </c>
      <c r="E8" s="1">
        <v>1.3</v>
      </c>
      <c r="F8" s="1" t="s">
        <v>1</v>
      </c>
      <c r="G8" s="1" t="s">
        <v>9</v>
      </c>
      <c r="H8" s="1" t="s">
        <v>8</v>
      </c>
      <c r="I8" s="1" t="s">
        <v>9</v>
      </c>
      <c r="J8" s="7" t="s">
        <v>9</v>
      </c>
    </row>
    <row r="9" spans="2:10">
      <c r="B9" s="2">
        <v>6.3</v>
      </c>
      <c r="C9" s="2">
        <v>3.3</v>
      </c>
      <c r="D9" s="2">
        <v>4.7</v>
      </c>
      <c r="E9" s="2">
        <v>1.6</v>
      </c>
      <c r="F9" s="2" t="s">
        <v>1</v>
      </c>
      <c r="G9" s="1" t="s">
        <v>9</v>
      </c>
      <c r="H9" s="1" t="s">
        <v>9</v>
      </c>
      <c r="I9" s="1" t="s">
        <v>9</v>
      </c>
      <c r="J9" s="7" t="s">
        <v>9</v>
      </c>
    </row>
    <row r="10" spans="2:10">
      <c r="B10" s="1">
        <v>4.9000000000000004</v>
      </c>
      <c r="C10" s="1">
        <v>2.4</v>
      </c>
      <c r="D10" s="1">
        <v>3.3</v>
      </c>
      <c r="E10" s="1">
        <v>1</v>
      </c>
      <c r="F10" s="1" t="s">
        <v>1</v>
      </c>
      <c r="G10" s="1" t="s">
        <v>8</v>
      </c>
      <c r="H10" s="1" t="s">
        <v>8</v>
      </c>
      <c r="I10" s="1" t="s">
        <v>9</v>
      </c>
      <c r="J10" s="7" t="s">
        <v>9</v>
      </c>
    </row>
    <row r="11" spans="2:10">
      <c r="B11" s="2">
        <v>6.6</v>
      </c>
      <c r="C11" s="2">
        <v>2.9</v>
      </c>
      <c r="D11" s="2">
        <v>4.5999999999999996</v>
      </c>
      <c r="E11" s="2">
        <v>1.3</v>
      </c>
      <c r="F11" s="2" t="s">
        <v>1</v>
      </c>
      <c r="G11" s="1" t="s">
        <v>10</v>
      </c>
      <c r="H11" s="1" t="s">
        <v>8</v>
      </c>
      <c r="I11" s="1" t="s">
        <v>9</v>
      </c>
      <c r="J11" s="7" t="s">
        <v>9</v>
      </c>
    </row>
    <row r="12" spans="2:10">
      <c r="B12" s="1">
        <v>5.2</v>
      </c>
      <c r="C12" s="1">
        <v>2.7</v>
      </c>
      <c r="D12" s="1">
        <v>3.9</v>
      </c>
      <c r="E12" s="1">
        <v>1.4</v>
      </c>
      <c r="F12" s="1" t="s">
        <v>1</v>
      </c>
      <c r="G12" s="1" t="s">
        <v>8</v>
      </c>
      <c r="H12" s="1" t="s">
        <v>8</v>
      </c>
      <c r="I12" s="1" t="s">
        <v>9</v>
      </c>
      <c r="J12" s="7" t="s">
        <v>9</v>
      </c>
    </row>
    <row r="13" spans="2:10">
      <c r="B13" s="2">
        <v>5</v>
      </c>
      <c r="C13" s="2">
        <v>2</v>
      </c>
      <c r="D13" s="2">
        <v>3.5</v>
      </c>
      <c r="E13" s="2">
        <v>1</v>
      </c>
      <c r="F13" s="2" t="s">
        <v>1</v>
      </c>
      <c r="G13" s="1" t="s">
        <v>8</v>
      </c>
      <c r="H13" s="1" t="s">
        <v>8</v>
      </c>
      <c r="I13" s="1" t="s">
        <v>9</v>
      </c>
      <c r="J13" s="7" t="s">
        <v>9</v>
      </c>
    </row>
    <row r="14" spans="2:10">
      <c r="B14" s="1">
        <v>5.9</v>
      </c>
      <c r="C14" s="1">
        <v>3</v>
      </c>
      <c r="D14" s="1">
        <v>4.2</v>
      </c>
      <c r="E14" s="1">
        <v>1.5</v>
      </c>
      <c r="F14" s="1" t="s">
        <v>1</v>
      </c>
      <c r="G14" s="1" t="s">
        <v>9</v>
      </c>
      <c r="H14" s="1" t="s">
        <v>9</v>
      </c>
      <c r="I14" s="1" t="s">
        <v>9</v>
      </c>
      <c r="J14" s="7" t="s">
        <v>9</v>
      </c>
    </row>
    <row r="15" spans="2:10">
      <c r="B15" s="2">
        <v>6</v>
      </c>
      <c r="C15" s="2">
        <v>2.2000000000000002</v>
      </c>
      <c r="D15" s="2">
        <v>4</v>
      </c>
      <c r="E15" s="2">
        <v>1</v>
      </c>
      <c r="F15" s="2" t="s">
        <v>1</v>
      </c>
      <c r="G15" s="1" t="s">
        <v>9</v>
      </c>
      <c r="H15" s="1" t="s">
        <v>8</v>
      </c>
      <c r="I15" s="1" t="s">
        <v>9</v>
      </c>
      <c r="J15" s="7" t="s">
        <v>9</v>
      </c>
    </row>
    <row r="16" spans="2:10">
      <c r="B16" s="1">
        <v>6.1</v>
      </c>
      <c r="C16" s="1">
        <v>2.9</v>
      </c>
      <c r="D16" s="1">
        <v>4.7</v>
      </c>
      <c r="E16" s="1">
        <v>1.4</v>
      </c>
      <c r="F16" s="1" t="s">
        <v>1</v>
      </c>
      <c r="G16" s="1" t="s">
        <v>9</v>
      </c>
      <c r="H16" s="1" t="s">
        <v>8</v>
      </c>
      <c r="I16" s="1" t="s">
        <v>9</v>
      </c>
      <c r="J16" s="7" t="s">
        <v>9</v>
      </c>
    </row>
    <row r="17" spans="2:10">
      <c r="B17" s="2">
        <v>5.6</v>
      </c>
      <c r="C17" s="2">
        <v>2.9</v>
      </c>
      <c r="D17" s="2">
        <v>3.6</v>
      </c>
      <c r="E17" s="2">
        <v>1.3</v>
      </c>
      <c r="F17" s="2" t="s">
        <v>1</v>
      </c>
      <c r="G17" s="1" t="s">
        <v>9</v>
      </c>
      <c r="H17" s="1" t="s">
        <v>8</v>
      </c>
      <c r="I17" s="1" t="s">
        <v>9</v>
      </c>
      <c r="J17" s="7" t="s">
        <v>9</v>
      </c>
    </row>
    <row r="18" spans="2:10">
      <c r="B18" s="1">
        <v>6.7</v>
      </c>
      <c r="C18" s="1">
        <v>3.1</v>
      </c>
      <c r="D18" s="1">
        <v>4.4000000000000004</v>
      </c>
      <c r="E18" s="1">
        <v>1.4</v>
      </c>
      <c r="F18" s="1" t="s">
        <v>1</v>
      </c>
      <c r="G18" s="1" t="s">
        <v>10</v>
      </c>
      <c r="H18" s="1" t="s">
        <v>9</v>
      </c>
      <c r="I18" s="1" t="s">
        <v>9</v>
      </c>
      <c r="J18" s="7" t="s">
        <v>9</v>
      </c>
    </row>
    <row r="19" spans="2:10">
      <c r="B19" s="2">
        <v>5.6</v>
      </c>
      <c r="C19" s="2">
        <v>3</v>
      </c>
      <c r="D19" s="2">
        <v>4.5</v>
      </c>
      <c r="E19" s="2">
        <v>1.5</v>
      </c>
      <c r="F19" s="2" t="s">
        <v>1</v>
      </c>
      <c r="G19" s="1" t="s">
        <v>9</v>
      </c>
      <c r="H19" s="1" t="s">
        <v>9</v>
      </c>
      <c r="I19" s="1" t="s">
        <v>9</v>
      </c>
      <c r="J19" s="7" t="s">
        <v>9</v>
      </c>
    </row>
    <row r="20" spans="2:10">
      <c r="B20" s="1">
        <v>5.8</v>
      </c>
      <c r="C20" s="1">
        <v>2.7</v>
      </c>
      <c r="D20" s="1">
        <v>4.0999999999999996</v>
      </c>
      <c r="E20" s="1">
        <v>1</v>
      </c>
      <c r="F20" s="1" t="s">
        <v>1</v>
      </c>
      <c r="G20" s="1" t="s">
        <v>9</v>
      </c>
      <c r="H20" s="1" t="s">
        <v>8</v>
      </c>
      <c r="I20" s="1" t="s">
        <v>9</v>
      </c>
      <c r="J20" s="7" t="s">
        <v>9</v>
      </c>
    </row>
    <row r="21" spans="2:10">
      <c r="B21" s="2">
        <v>6.2</v>
      </c>
      <c r="C21" s="2">
        <v>2.2000000000000002</v>
      </c>
      <c r="D21" s="2">
        <v>4.5</v>
      </c>
      <c r="E21" s="2">
        <v>1.5</v>
      </c>
      <c r="F21" s="2" t="s">
        <v>1</v>
      </c>
      <c r="G21" s="1" t="s">
        <v>9</v>
      </c>
      <c r="H21" s="1" t="s">
        <v>8</v>
      </c>
      <c r="I21" s="1" t="s">
        <v>9</v>
      </c>
      <c r="J21" s="7" t="s">
        <v>9</v>
      </c>
    </row>
    <row r="22" spans="2:10">
      <c r="B22" s="1">
        <v>5.6</v>
      </c>
      <c r="C22" s="1">
        <v>2.5</v>
      </c>
      <c r="D22" s="1">
        <v>3.9</v>
      </c>
      <c r="E22" s="1">
        <v>1.1000000000000001</v>
      </c>
      <c r="F22" s="1" t="s">
        <v>1</v>
      </c>
      <c r="G22" s="1" t="s">
        <v>9</v>
      </c>
      <c r="H22" s="1" t="s">
        <v>8</v>
      </c>
      <c r="I22" s="1" t="s">
        <v>9</v>
      </c>
      <c r="J22" s="7" t="s">
        <v>9</v>
      </c>
    </row>
    <row r="23" spans="2:10">
      <c r="B23" s="1">
        <v>6.1</v>
      </c>
      <c r="C23" s="1">
        <v>2.8</v>
      </c>
      <c r="D23" s="1">
        <v>4</v>
      </c>
      <c r="E23" s="1">
        <v>1.3</v>
      </c>
      <c r="F23" s="1" t="s">
        <v>1</v>
      </c>
      <c r="G23" s="1" t="s">
        <v>9</v>
      </c>
      <c r="H23" s="1" t="s">
        <v>8</v>
      </c>
      <c r="I23" s="1" t="s">
        <v>9</v>
      </c>
      <c r="J23" s="7" t="s">
        <v>9</v>
      </c>
    </row>
    <row r="24" spans="2:10">
      <c r="B24" s="2">
        <v>6.3</v>
      </c>
      <c r="C24" s="2">
        <v>2.5</v>
      </c>
      <c r="D24" s="2">
        <v>4.9000000000000004</v>
      </c>
      <c r="E24" s="2">
        <v>1.5</v>
      </c>
      <c r="F24" s="2" t="s">
        <v>1</v>
      </c>
      <c r="G24" s="1" t="s">
        <v>9</v>
      </c>
      <c r="H24" s="1" t="s">
        <v>8</v>
      </c>
      <c r="I24" s="1" t="s">
        <v>10</v>
      </c>
      <c r="J24" s="7" t="s">
        <v>9</v>
      </c>
    </row>
    <row r="25" spans="2:10">
      <c r="B25" s="1">
        <v>6.1</v>
      </c>
      <c r="C25" s="1">
        <v>2.8</v>
      </c>
      <c r="D25" s="1">
        <v>4.7</v>
      </c>
      <c r="E25" s="1">
        <v>1.2</v>
      </c>
      <c r="F25" s="1" t="s">
        <v>1</v>
      </c>
      <c r="G25" s="1" t="s">
        <v>9</v>
      </c>
      <c r="H25" s="1" t="s">
        <v>8</v>
      </c>
      <c r="I25" s="1" t="s">
        <v>9</v>
      </c>
      <c r="J25" s="7" t="s">
        <v>9</v>
      </c>
    </row>
    <row r="26" spans="2:10">
      <c r="B26" s="2">
        <v>6.4</v>
      </c>
      <c r="C26" s="2">
        <v>2.9</v>
      </c>
      <c r="D26" s="2">
        <v>4.3</v>
      </c>
      <c r="E26" s="2">
        <v>1.3</v>
      </c>
      <c r="F26" s="2" t="s">
        <v>1</v>
      </c>
      <c r="G26" s="1" t="s">
        <v>9</v>
      </c>
      <c r="H26" s="1" t="s">
        <v>8</v>
      </c>
      <c r="I26" s="1" t="s">
        <v>9</v>
      </c>
      <c r="J26" s="7" t="s">
        <v>9</v>
      </c>
    </row>
    <row r="27" spans="2:10">
      <c r="B27" s="1">
        <v>6.6</v>
      </c>
      <c r="C27" s="1">
        <v>3</v>
      </c>
      <c r="D27" s="1">
        <v>4.4000000000000004</v>
      </c>
      <c r="E27" s="1">
        <v>1.4</v>
      </c>
      <c r="F27" s="1" t="s">
        <v>1</v>
      </c>
      <c r="G27" s="1" t="s">
        <v>10</v>
      </c>
      <c r="H27" s="1" t="s">
        <v>9</v>
      </c>
      <c r="I27" s="1" t="s">
        <v>9</v>
      </c>
      <c r="J27" s="7" t="s">
        <v>9</v>
      </c>
    </row>
    <row r="28" spans="2:10">
      <c r="B28" s="2">
        <v>6.8</v>
      </c>
      <c r="C28" s="2">
        <v>2.8</v>
      </c>
      <c r="D28" s="2">
        <v>4.8</v>
      </c>
      <c r="E28" s="2">
        <v>1.4</v>
      </c>
      <c r="F28" s="2" t="s">
        <v>1</v>
      </c>
      <c r="G28" s="1" t="s">
        <v>10</v>
      </c>
      <c r="H28" s="1" t="s">
        <v>8</v>
      </c>
      <c r="I28" s="1" t="s">
        <v>9</v>
      </c>
      <c r="J28" s="7" t="s">
        <v>9</v>
      </c>
    </row>
    <row r="29" spans="2:10">
      <c r="B29" s="1">
        <v>6.7</v>
      </c>
      <c r="C29" s="1">
        <v>3</v>
      </c>
      <c r="D29" s="1">
        <v>5</v>
      </c>
      <c r="E29" s="1">
        <v>1.7</v>
      </c>
      <c r="F29" s="1" t="s">
        <v>1</v>
      </c>
      <c r="G29" s="1" t="s">
        <v>10</v>
      </c>
      <c r="H29" s="1" t="s">
        <v>9</v>
      </c>
      <c r="I29" s="1" t="s">
        <v>10</v>
      </c>
      <c r="J29" s="7" t="s">
        <v>9</v>
      </c>
    </row>
    <row r="30" spans="2:10">
      <c r="B30" s="2">
        <v>6</v>
      </c>
      <c r="C30" s="2">
        <v>2.9</v>
      </c>
      <c r="D30" s="2">
        <v>4.5</v>
      </c>
      <c r="E30" s="2">
        <v>1.5</v>
      </c>
      <c r="F30" s="2" t="s">
        <v>1</v>
      </c>
      <c r="G30" s="1" t="s">
        <v>9</v>
      </c>
      <c r="H30" s="1" t="s">
        <v>8</v>
      </c>
      <c r="I30" s="1" t="s">
        <v>9</v>
      </c>
      <c r="J30" s="7" t="s">
        <v>9</v>
      </c>
    </row>
    <row r="31" spans="2:10">
      <c r="B31" s="1">
        <v>5.7</v>
      </c>
      <c r="C31" s="1">
        <v>2.6</v>
      </c>
      <c r="D31" s="1">
        <v>3.5</v>
      </c>
      <c r="E31" s="1">
        <v>1</v>
      </c>
      <c r="F31" s="1" t="s">
        <v>1</v>
      </c>
      <c r="G31" s="1" t="s">
        <v>9</v>
      </c>
      <c r="H31" s="1" t="s">
        <v>8</v>
      </c>
      <c r="I31" s="1" t="s">
        <v>9</v>
      </c>
      <c r="J31" s="7" t="s">
        <v>9</v>
      </c>
    </row>
    <row r="32" spans="2:10">
      <c r="B32" s="2">
        <v>5.5</v>
      </c>
      <c r="C32" s="2">
        <v>2.4</v>
      </c>
      <c r="D32" s="2">
        <v>3.8</v>
      </c>
      <c r="E32" s="2">
        <v>1.1000000000000001</v>
      </c>
      <c r="F32" s="2" t="s">
        <v>1</v>
      </c>
      <c r="G32" s="1" t="s">
        <v>8</v>
      </c>
      <c r="H32" s="1" t="s">
        <v>8</v>
      </c>
      <c r="I32" s="1" t="s">
        <v>9</v>
      </c>
      <c r="J32" s="7" t="s">
        <v>9</v>
      </c>
    </row>
    <row r="33" spans="2:10">
      <c r="B33" s="1">
        <v>5.5</v>
      </c>
      <c r="C33" s="1">
        <v>2.4</v>
      </c>
      <c r="D33" s="1">
        <v>3.7</v>
      </c>
      <c r="E33" s="1">
        <v>1</v>
      </c>
      <c r="F33" s="1" t="s">
        <v>1</v>
      </c>
      <c r="G33" s="1" t="s">
        <v>8</v>
      </c>
      <c r="H33" s="1" t="s">
        <v>8</v>
      </c>
      <c r="I33" s="1" t="s">
        <v>9</v>
      </c>
      <c r="J33" s="7" t="s">
        <v>9</v>
      </c>
    </row>
    <row r="34" spans="2:10">
      <c r="B34" s="2">
        <v>5.8</v>
      </c>
      <c r="C34" s="2">
        <v>2.7</v>
      </c>
      <c r="D34" s="2">
        <v>3.9</v>
      </c>
      <c r="E34" s="2">
        <v>1.2</v>
      </c>
      <c r="F34" s="2" t="s">
        <v>1</v>
      </c>
      <c r="G34" s="1" t="s">
        <v>9</v>
      </c>
      <c r="H34" s="1" t="s">
        <v>8</v>
      </c>
      <c r="I34" s="1" t="s">
        <v>9</v>
      </c>
      <c r="J34" s="7" t="s">
        <v>9</v>
      </c>
    </row>
    <row r="35" spans="2:10">
      <c r="B35" s="1">
        <v>6</v>
      </c>
      <c r="C35" s="1">
        <v>2.7</v>
      </c>
      <c r="D35" s="1">
        <v>5.0999999999999996</v>
      </c>
      <c r="E35" s="1">
        <v>1.6</v>
      </c>
      <c r="F35" s="1" t="s">
        <v>1</v>
      </c>
      <c r="G35" s="1" t="s">
        <v>9</v>
      </c>
      <c r="H35" s="1" t="s">
        <v>8</v>
      </c>
      <c r="I35" s="1" t="s">
        <v>10</v>
      </c>
      <c r="J35" s="7" t="s">
        <v>9</v>
      </c>
    </row>
    <row r="36" spans="2:10">
      <c r="B36" s="2">
        <v>5.4</v>
      </c>
      <c r="C36" s="2">
        <v>3</v>
      </c>
      <c r="D36" s="2">
        <v>4.5</v>
      </c>
      <c r="E36" s="2">
        <v>1.5</v>
      </c>
      <c r="F36" s="2" t="s">
        <v>1</v>
      </c>
      <c r="G36" s="1" t="s">
        <v>8</v>
      </c>
      <c r="H36" s="1" t="s">
        <v>9</v>
      </c>
      <c r="I36" s="1" t="s">
        <v>9</v>
      </c>
      <c r="J36" s="7" t="s">
        <v>9</v>
      </c>
    </row>
    <row r="37" spans="2:10">
      <c r="B37" s="1">
        <v>6</v>
      </c>
      <c r="C37" s="1">
        <v>3.4</v>
      </c>
      <c r="D37" s="1">
        <v>4.5</v>
      </c>
      <c r="E37" s="1">
        <v>1.6</v>
      </c>
      <c r="F37" s="1" t="s">
        <v>1</v>
      </c>
      <c r="G37" s="1" t="s">
        <v>9</v>
      </c>
      <c r="H37" s="1" t="s">
        <v>9</v>
      </c>
      <c r="I37" s="1" t="s">
        <v>9</v>
      </c>
      <c r="J37" s="7" t="s">
        <v>9</v>
      </c>
    </row>
    <row r="38" spans="2:10">
      <c r="B38" s="2">
        <v>6.7</v>
      </c>
      <c r="C38" s="2">
        <v>3.1</v>
      </c>
      <c r="D38" s="2">
        <v>4.7</v>
      </c>
      <c r="E38" s="2">
        <v>1.5</v>
      </c>
      <c r="F38" s="2" t="s">
        <v>1</v>
      </c>
      <c r="G38" s="1" t="s">
        <v>10</v>
      </c>
      <c r="H38" s="1" t="s">
        <v>9</v>
      </c>
      <c r="I38" s="1" t="s">
        <v>9</v>
      </c>
      <c r="J38" s="7" t="s">
        <v>9</v>
      </c>
    </row>
    <row r="39" spans="2:10">
      <c r="B39" s="1">
        <v>6.3</v>
      </c>
      <c r="C39" s="1">
        <v>2.2999999999999998</v>
      </c>
      <c r="D39" s="1">
        <v>4.4000000000000004</v>
      </c>
      <c r="E39" s="1">
        <v>1.3</v>
      </c>
      <c r="F39" s="1" t="s">
        <v>1</v>
      </c>
      <c r="G39" s="1" t="s">
        <v>9</v>
      </c>
      <c r="H39" s="1" t="s">
        <v>8</v>
      </c>
      <c r="I39" s="1" t="s">
        <v>9</v>
      </c>
      <c r="J39" s="7" t="s">
        <v>9</v>
      </c>
    </row>
    <row r="40" spans="2:10">
      <c r="B40" s="2">
        <v>5.6</v>
      </c>
      <c r="C40" s="2">
        <v>3</v>
      </c>
      <c r="D40" s="2">
        <v>4.0999999999999996</v>
      </c>
      <c r="E40" s="2">
        <v>1.3</v>
      </c>
      <c r="F40" s="2" t="s">
        <v>1</v>
      </c>
      <c r="G40" s="1" t="s">
        <v>9</v>
      </c>
      <c r="H40" s="1" t="s">
        <v>9</v>
      </c>
      <c r="I40" s="1" t="s">
        <v>9</v>
      </c>
      <c r="J40" s="7" t="s">
        <v>9</v>
      </c>
    </row>
    <row r="41" spans="2:10">
      <c r="B41" s="1">
        <v>5.5</v>
      </c>
      <c r="C41" s="1">
        <v>2.5</v>
      </c>
      <c r="D41" s="1">
        <v>4</v>
      </c>
      <c r="E41" s="1">
        <v>1.3</v>
      </c>
      <c r="F41" s="1" t="s">
        <v>1</v>
      </c>
      <c r="G41" s="1" t="s">
        <v>8</v>
      </c>
      <c r="H41" s="1" t="s">
        <v>8</v>
      </c>
      <c r="I41" s="1" t="s">
        <v>9</v>
      </c>
      <c r="J41" s="7" t="s">
        <v>9</v>
      </c>
    </row>
    <row r="42" spans="2:10">
      <c r="B42" s="2">
        <v>5.5</v>
      </c>
      <c r="C42" s="2">
        <v>2.6</v>
      </c>
      <c r="D42" s="2">
        <v>4.4000000000000004</v>
      </c>
      <c r="E42" s="2">
        <v>1.2</v>
      </c>
      <c r="F42" s="2" t="s">
        <v>1</v>
      </c>
      <c r="G42" s="1" t="s">
        <v>8</v>
      </c>
      <c r="H42" s="1" t="s">
        <v>8</v>
      </c>
      <c r="I42" s="1" t="s">
        <v>9</v>
      </c>
      <c r="J42" s="7" t="s">
        <v>9</v>
      </c>
    </row>
    <row r="43" spans="2:10">
      <c r="B43" s="1">
        <v>6.1</v>
      </c>
      <c r="C43" s="1">
        <v>3</v>
      </c>
      <c r="D43" s="1">
        <v>4.5999999999999996</v>
      </c>
      <c r="E43" s="1">
        <v>1.4</v>
      </c>
      <c r="F43" s="1" t="s">
        <v>1</v>
      </c>
      <c r="G43" s="1" t="s">
        <v>9</v>
      </c>
      <c r="H43" s="1" t="s">
        <v>9</v>
      </c>
      <c r="I43" s="1" t="s">
        <v>9</v>
      </c>
      <c r="J43" s="7" t="s">
        <v>9</v>
      </c>
    </row>
    <row r="44" spans="2:10">
      <c r="B44" s="2">
        <v>5.8</v>
      </c>
      <c r="C44" s="2">
        <v>2.6</v>
      </c>
      <c r="D44" s="2">
        <v>4</v>
      </c>
      <c r="E44" s="2">
        <v>1.2</v>
      </c>
      <c r="F44" s="2" t="s">
        <v>1</v>
      </c>
      <c r="G44" s="1" t="s">
        <v>9</v>
      </c>
      <c r="H44" s="1" t="s">
        <v>8</v>
      </c>
      <c r="I44" s="1" t="s">
        <v>9</v>
      </c>
      <c r="J44" s="7" t="s">
        <v>9</v>
      </c>
    </row>
    <row r="45" spans="2:10">
      <c r="B45" s="1">
        <v>5</v>
      </c>
      <c r="C45" s="1">
        <v>2.2999999999999998</v>
      </c>
      <c r="D45" s="1">
        <v>3.3</v>
      </c>
      <c r="E45" s="1">
        <v>1</v>
      </c>
      <c r="F45" s="1" t="s">
        <v>1</v>
      </c>
      <c r="G45" s="1" t="s">
        <v>8</v>
      </c>
      <c r="H45" s="1" t="s">
        <v>8</v>
      </c>
      <c r="I45" s="1" t="s">
        <v>9</v>
      </c>
      <c r="J45" s="7" t="s">
        <v>9</v>
      </c>
    </row>
    <row r="46" spans="2:10">
      <c r="B46" s="2">
        <v>5.6</v>
      </c>
      <c r="C46" s="2">
        <v>2.7</v>
      </c>
      <c r="D46" s="2">
        <v>4.2</v>
      </c>
      <c r="E46" s="2">
        <v>1.3</v>
      </c>
      <c r="F46" s="2" t="s">
        <v>1</v>
      </c>
      <c r="G46" s="1" t="s">
        <v>9</v>
      </c>
      <c r="H46" s="1" t="s">
        <v>8</v>
      </c>
      <c r="I46" s="1" t="s">
        <v>9</v>
      </c>
      <c r="J46" s="7" t="s">
        <v>9</v>
      </c>
    </row>
    <row r="47" spans="2:10">
      <c r="B47" s="1">
        <v>5.7</v>
      </c>
      <c r="C47" s="1">
        <v>3</v>
      </c>
      <c r="D47" s="1">
        <v>4.2</v>
      </c>
      <c r="E47" s="1">
        <v>1.2</v>
      </c>
      <c r="F47" s="1" t="s">
        <v>1</v>
      </c>
      <c r="G47" s="1" t="s">
        <v>9</v>
      </c>
      <c r="H47" s="1" t="s">
        <v>9</v>
      </c>
      <c r="I47" s="1" t="s">
        <v>9</v>
      </c>
      <c r="J47" s="7" t="s">
        <v>9</v>
      </c>
    </row>
    <row r="48" spans="2:10">
      <c r="B48" s="2">
        <v>5.7</v>
      </c>
      <c r="C48" s="2">
        <v>2.9</v>
      </c>
      <c r="D48" s="2">
        <v>4.2</v>
      </c>
      <c r="E48" s="2">
        <v>1.3</v>
      </c>
      <c r="F48" s="2" t="s">
        <v>1</v>
      </c>
      <c r="G48" s="1" t="s">
        <v>9</v>
      </c>
      <c r="H48" s="1" t="s">
        <v>8</v>
      </c>
      <c r="I48" s="1" t="s">
        <v>9</v>
      </c>
      <c r="J48" s="7" t="s">
        <v>9</v>
      </c>
    </row>
    <row r="49" spans="2:21">
      <c r="B49" s="1">
        <v>6.2</v>
      </c>
      <c r="C49" s="1">
        <v>2.9</v>
      </c>
      <c r="D49" s="1">
        <v>4.3</v>
      </c>
      <c r="E49" s="1">
        <v>1.3</v>
      </c>
      <c r="F49" s="1" t="s">
        <v>1</v>
      </c>
      <c r="G49" s="1" t="s">
        <v>9</v>
      </c>
      <c r="H49" s="1" t="s">
        <v>8</v>
      </c>
      <c r="I49" s="1" t="s">
        <v>9</v>
      </c>
      <c r="J49" s="7" t="s">
        <v>9</v>
      </c>
    </row>
    <row r="50" spans="2:21">
      <c r="B50" s="2">
        <v>5.0999999999999996</v>
      </c>
      <c r="C50" s="2">
        <v>2.5</v>
      </c>
      <c r="D50" s="2">
        <v>3</v>
      </c>
      <c r="E50" s="2">
        <v>1.1000000000000001</v>
      </c>
      <c r="F50" s="2" t="s">
        <v>1</v>
      </c>
      <c r="G50" s="1" t="s">
        <v>8</v>
      </c>
      <c r="H50" s="1" t="s">
        <v>8</v>
      </c>
      <c r="I50" s="1" t="s">
        <v>9</v>
      </c>
      <c r="J50" s="7" t="s">
        <v>9</v>
      </c>
    </row>
    <row r="51" spans="2:21">
      <c r="B51" s="1">
        <v>5.7</v>
      </c>
      <c r="C51" s="1">
        <v>2.8</v>
      </c>
      <c r="D51" s="1">
        <v>4.0999999999999996</v>
      </c>
      <c r="E51" s="1">
        <v>1.3</v>
      </c>
      <c r="F51" s="1" t="s">
        <v>1</v>
      </c>
      <c r="G51" s="1" t="s">
        <v>9</v>
      </c>
      <c r="H51" s="1" t="s">
        <v>8</v>
      </c>
      <c r="I51" s="1" t="s">
        <v>9</v>
      </c>
      <c r="J51" s="7" t="s">
        <v>9</v>
      </c>
    </row>
    <row r="52" spans="2:21">
      <c r="B52" s="3">
        <v>4.9000000000000004</v>
      </c>
      <c r="C52" s="3">
        <v>2.5</v>
      </c>
      <c r="D52" s="3">
        <v>4.5</v>
      </c>
      <c r="E52" s="3">
        <v>1.7</v>
      </c>
      <c r="F52" s="3" t="s">
        <v>2</v>
      </c>
      <c r="G52" s="9" t="s">
        <v>8</v>
      </c>
      <c r="H52" s="9" t="s">
        <v>8</v>
      </c>
      <c r="I52" s="4" t="s">
        <v>9</v>
      </c>
      <c r="J52" s="5" t="s">
        <v>9</v>
      </c>
    </row>
    <row r="53" spans="2:21">
      <c r="B53" s="3">
        <v>6</v>
      </c>
      <c r="C53" s="3">
        <v>2.2000000000000002</v>
      </c>
      <c r="D53" s="3">
        <v>5</v>
      </c>
      <c r="E53" s="3">
        <v>1.5</v>
      </c>
      <c r="F53" s="3" t="s">
        <v>2</v>
      </c>
      <c r="G53" s="9" t="s">
        <v>9</v>
      </c>
      <c r="H53" s="9" t="s">
        <v>8</v>
      </c>
      <c r="I53" s="4" t="s">
        <v>10</v>
      </c>
      <c r="J53" s="5" t="s">
        <v>9</v>
      </c>
    </row>
    <row r="54" spans="2:21">
      <c r="B54" s="3">
        <v>7.2</v>
      </c>
      <c r="C54" s="3">
        <v>3</v>
      </c>
      <c r="D54" s="3">
        <v>5.8</v>
      </c>
      <c r="E54" s="3">
        <v>1.6</v>
      </c>
      <c r="F54" s="3" t="s">
        <v>2</v>
      </c>
      <c r="G54" s="9" t="s">
        <v>10</v>
      </c>
      <c r="H54" s="9" t="s">
        <v>9</v>
      </c>
      <c r="I54" s="4" t="s">
        <v>10</v>
      </c>
      <c r="J54" s="5" t="s">
        <v>9</v>
      </c>
    </row>
    <row r="55" spans="2:21">
      <c r="B55" s="3">
        <v>6.3</v>
      </c>
      <c r="C55" s="3">
        <v>2.8</v>
      </c>
      <c r="D55" s="3">
        <v>5.0999999999999996</v>
      </c>
      <c r="E55" s="3">
        <v>1.5</v>
      </c>
      <c r="F55" s="3" t="s">
        <v>2</v>
      </c>
      <c r="G55" s="9" t="s">
        <v>9</v>
      </c>
      <c r="H55" s="9" t="s">
        <v>8</v>
      </c>
      <c r="I55" s="4" t="s">
        <v>10</v>
      </c>
      <c r="J55" s="5" t="s">
        <v>9</v>
      </c>
    </row>
    <row r="56" spans="2:21">
      <c r="B56" s="2">
        <v>6.1</v>
      </c>
      <c r="C56" s="2">
        <v>2.6</v>
      </c>
      <c r="D56" s="2">
        <v>5.6</v>
      </c>
      <c r="E56" s="2">
        <v>1.4</v>
      </c>
      <c r="F56" s="2" t="s">
        <v>2</v>
      </c>
      <c r="G56" s="9" t="s">
        <v>9</v>
      </c>
      <c r="H56" s="9" t="s">
        <v>8</v>
      </c>
      <c r="I56" s="4" t="s">
        <v>10</v>
      </c>
      <c r="J56" s="7" t="s">
        <v>9</v>
      </c>
    </row>
    <row r="59" spans="2:21">
      <c r="D59" s="14" t="s">
        <v>15</v>
      </c>
      <c r="E59" s="12">
        <v>0.44500000000000001</v>
      </c>
      <c r="G59" s="15" t="s">
        <v>19</v>
      </c>
      <c r="H59" s="13">
        <v>0.16800000000000001</v>
      </c>
    </row>
    <row r="61" spans="2:21">
      <c r="B61" s="17" t="s">
        <v>16</v>
      </c>
      <c r="C61" s="16">
        <v>1</v>
      </c>
      <c r="M61" s="24" t="s">
        <v>17</v>
      </c>
      <c r="N61" s="25">
        <v>0.151</v>
      </c>
    </row>
    <row r="62" spans="2:21">
      <c r="B62" s="87" t="s">
        <v>28</v>
      </c>
      <c r="C62" s="88" t="s">
        <v>29</v>
      </c>
      <c r="D62" s="88" t="s">
        <v>30</v>
      </c>
      <c r="E62" s="88" t="s">
        <v>31</v>
      </c>
      <c r="F62" s="88" t="s">
        <v>24</v>
      </c>
      <c r="G62" s="88" t="s">
        <v>32</v>
      </c>
      <c r="H62" s="88" t="s">
        <v>33</v>
      </c>
      <c r="I62" s="88" t="s">
        <v>34</v>
      </c>
      <c r="J62" s="89" t="s">
        <v>35</v>
      </c>
      <c r="M62" s="26" t="s">
        <v>28</v>
      </c>
      <c r="N62" s="27" t="s">
        <v>29</v>
      </c>
      <c r="O62" s="27" t="s">
        <v>30</v>
      </c>
      <c r="P62" s="27" t="s">
        <v>31</v>
      </c>
      <c r="Q62" s="27" t="s">
        <v>24</v>
      </c>
      <c r="R62" s="27" t="s">
        <v>32</v>
      </c>
      <c r="S62" s="27" t="s">
        <v>33</v>
      </c>
      <c r="T62" s="27" t="s">
        <v>34</v>
      </c>
      <c r="U62" s="28" t="s">
        <v>35</v>
      </c>
    </row>
    <row r="63" spans="2:21">
      <c r="B63" s="29">
        <v>6.9</v>
      </c>
      <c r="C63" s="22">
        <v>3.1</v>
      </c>
      <c r="D63" s="22">
        <v>4.9000000000000004</v>
      </c>
      <c r="E63" s="22">
        <v>1.5</v>
      </c>
      <c r="F63" s="22" t="s">
        <v>1</v>
      </c>
      <c r="G63" s="18" t="s">
        <v>10</v>
      </c>
      <c r="H63" s="18" t="s">
        <v>9</v>
      </c>
      <c r="I63" s="61" t="s">
        <v>10</v>
      </c>
      <c r="J63" s="30" t="s">
        <v>9</v>
      </c>
      <c r="M63" s="29">
        <v>7</v>
      </c>
      <c r="N63" s="22">
        <v>3.2</v>
      </c>
      <c r="O63" s="22">
        <v>4.7</v>
      </c>
      <c r="P63" s="22">
        <v>1.4</v>
      </c>
      <c r="Q63" s="22" t="s">
        <v>1</v>
      </c>
      <c r="R63" s="18" t="s">
        <v>10</v>
      </c>
      <c r="S63" s="18" t="s">
        <v>9</v>
      </c>
      <c r="T63" s="61" t="s">
        <v>9</v>
      </c>
      <c r="U63" s="30" t="s">
        <v>9</v>
      </c>
    </row>
    <row r="64" spans="2:21">
      <c r="B64" s="29">
        <v>6.3</v>
      </c>
      <c r="C64" s="22">
        <v>2.5</v>
      </c>
      <c r="D64" s="22">
        <v>4.9000000000000004</v>
      </c>
      <c r="E64" s="22">
        <v>1.5</v>
      </c>
      <c r="F64" s="22" t="s">
        <v>1</v>
      </c>
      <c r="G64" s="18" t="s">
        <v>9</v>
      </c>
      <c r="H64" s="18" t="s">
        <v>8</v>
      </c>
      <c r="I64" s="61" t="s">
        <v>10</v>
      </c>
      <c r="J64" s="30" t="s">
        <v>9</v>
      </c>
      <c r="M64" s="31">
        <v>6.4</v>
      </c>
      <c r="N64" s="18">
        <v>3.2</v>
      </c>
      <c r="O64" s="18">
        <v>4.5</v>
      </c>
      <c r="P64" s="18">
        <v>1.5</v>
      </c>
      <c r="Q64" s="18" t="s">
        <v>1</v>
      </c>
      <c r="R64" s="18" t="s">
        <v>9</v>
      </c>
      <c r="S64" s="18" t="s">
        <v>9</v>
      </c>
      <c r="T64" s="61" t="s">
        <v>9</v>
      </c>
      <c r="U64" s="30" t="s">
        <v>9</v>
      </c>
    </row>
    <row r="65" spans="2:21">
      <c r="B65" s="31">
        <v>6.7</v>
      </c>
      <c r="C65" s="18">
        <v>3</v>
      </c>
      <c r="D65" s="18">
        <v>5</v>
      </c>
      <c r="E65" s="18">
        <v>1.7</v>
      </c>
      <c r="F65" s="18" t="s">
        <v>1</v>
      </c>
      <c r="G65" s="18" t="s">
        <v>10</v>
      </c>
      <c r="H65" s="18" t="s">
        <v>9</v>
      </c>
      <c r="I65" s="61" t="s">
        <v>10</v>
      </c>
      <c r="J65" s="30" t="s">
        <v>9</v>
      </c>
      <c r="M65" s="31">
        <v>5.5</v>
      </c>
      <c r="N65" s="18">
        <v>2.2999999999999998</v>
      </c>
      <c r="O65" s="18">
        <v>4</v>
      </c>
      <c r="P65" s="18">
        <v>1.3</v>
      </c>
      <c r="Q65" s="18" t="s">
        <v>1</v>
      </c>
      <c r="R65" s="18" t="s">
        <v>8</v>
      </c>
      <c r="S65" s="18" t="s">
        <v>8</v>
      </c>
      <c r="T65" s="61" t="s">
        <v>9</v>
      </c>
      <c r="U65" s="30" t="s">
        <v>9</v>
      </c>
    </row>
    <row r="66" spans="2:21">
      <c r="B66" s="31">
        <v>6</v>
      </c>
      <c r="C66" s="18">
        <v>2.7</v>
      </c>
      <c r="D66" s="18">
        <v>5.0999999999999996</v>
      </c>
      <c r="E66" s="18">
        <v>1.6</v>
      </c>
      <c r="F66" s="18" t="s">
        <v>1</v>
      </c>
      <c r="G66" s="18" t="s">
        <v>9</v>
      </c>
      <c r="H66" s="18" t="s">
        <v>8</v>
      </c>
      <c r="I66" s="61" t="s">
        <v>10</v>
      </c>
      <c r="J66" s="30" t="s">
        <v>9</v>
      </c>
      <c r="M66" s="29">
        <v>6.5</v>
      </c>
      <c r="N66" s="22">
        <v>2.8</v>
      </c>
      <c r="O66" s="22">
        <v>4.5999999999999996</v>
      </c>
      <c r="P66" s="22">
        <v>1.5</v>
      </c>
      <c r="Q66" s="22" t="s">
        <v>1</v>
      </c>
      <c r="R66" s="18" t="s">
        <v>9</v>
      </c>
      <c r="S66" s="18" t="s">
        <v>8</v>
      </c>
      <c r="T66" s="61" t="s">
        <v>9</v>
      </c>
      <c r="U66" s="30" t="s">
        <v>9</v>
      </c>
    </row>
    <row r="67" spans="2:21">
      <c r="B67" s="29">
        <v>6</v>
      </c>
      <c r="C67" s="22">
        <v>2.2000000000000002</v>
      </c>
      <c r="D67" s="22">
        <v>5</v>
      </c>
      <c r="E67" s="22">
        <v>1.5</v>
      </c>
      <c r="F67" s="22" t="s">
        <v>2</v>
      </c>
      <c r="G67" s="23" t="s">
        <v>9</v>
      </c>
      <c r="H67" s="23" t="s">
        <v>8</v>
      </c>
      <c r="I67" s="61" t="s">
        <v>10</v>
      </c>
      <c r="J67" s="30" t="s">
        <v>9</v>
      </c>
      <c r="M67" s="31">
        <v>5.7</v>
      </c>
      <c r="N67" s="18">
        <v>2.8</v>
      </c>
      <c r="O67" s="18">
        <v>4.5</v>
      </c>
      <c r="P67" s="18">
        <v>1.3</v>
      </c>
      <c r="Q67" s="18" t="s">
        <v>1</v>
      </c>
      <c r="R67" s="18" t="s">
        <v>9</v>
      </c>
      <c r="S67" s="18" t="s">
        <v>8</v>
      </c>
      <c r="T67" s="61" t="s">
        <v>9</v>
      </c>
      <c r="U67" s="30" t="s">
        <v>9</v>
      </c>
    </row>
    <row r="68" spans="2:21">
      <c r="B68" s="29">
        <v>7.2</v>
      </c>
      <c r="C68" s="22">
        <v>3</v>
      </c>
      <c r="D68" s="22">
        <v>5.8</v>
      </c>
      <c r="E68" s="22">
        <v>1.6</v>
      </c>
      <c r="F68" s="22" t="s">
        <v>2</v>
      </c>
      <c r="G68" s="23" t="s">
        <v>10</v>
      </c>
      <c r="H68" s="23" t="s">
        <v>9</v>
      </c>
      <c r="I68" s="61" t="s">
        <v>10</v>
      </c>
      <c r="J68" s="30" t="s">
        <v>9</v>
      </c>
      <c r="M68" s="29">
        <v>6.3</v>
      </c>
      <c r="N68" s="22">
        <v>3.3</v>
      </c>
      <c r="O68" s="22">
        <v>4.7</v>
      </c>
      <c r="P68" s="22">
        <v>1.6</v>
      </c>
      <c r="Q68" s="22" t="s">
        <v>1</v>
      </c>
      <c r="R68" s="18" t="s">
        <v>9</v>
      </c>
      <c r="S68" s="18" t="s">
        <v>9</v>
      </c>
      <c r="T68" s="61" t="s">
        <v>9</v>
      </c>
      <c r="U68" s="30" t="s">
        <v>9</v>
      </c>
    </row>
    <row r="69" spans="2:21">
      <c r="B69" s="29">
        <v>6.3</v>
      </c>
      <c r="C69" s="22">
        <v>2.8</v>
      </c>
      <c r="D69" s="22">
        <v>5.0999999999999996</v>
      </c>
      <c r="E69" s="22">
        <v>1.5</v>
      </c>
      <c r="F69" s="22" t="s">
        <v>2</v>
      </c>
      <c r="G69" s="23" t="s">
        <v>9</v>
      </c>
      <c r="H69" s="23" t="s">
        <v>8</v>
      </c>
      <c r="I69" s="61" t="s">
        <v>10</v>
      </c>
      <c r="J69" s="30" t="s">
        <v>9</v>
      </c>
      <c r="M69" s="31">
        <v>4.9000000000000004</v>
      </c>
      <c r="N69" s="18">
        <v>2.4</v>
      </c>
      <c r="O69" s="18">
        <v>3.3</v>
      </c>
      <c r="P69" s="18">
        <v>1</v>
      </c>
      <c r="Q69" s="18" t="s">
        <v>1</v>
      </c>
      <c r="R69" s="18" t="s">
        <v>8</v>
      </c>
      <c r="S69" s="18" t="s">
        <v>8</v>
      </c>
      <c r="T69" s="61" t="s">
        <v>9</v>
      </c>
      <c r="U69" s="30" t="s">
        <v>9</v>
      </c>
    </row>
    <row r="70" spans="2:21">
      <c r="B70" s="32">
        <v>6.1</v>
      </c>
      <c r="C70" s="33">
        <v>2.6</v>
      </c>
      <c r="D70" s="33">
        <v>5.6</v>
      </c>
      <c r="E70" s="33">
        <v>1.4</v>
      </c>
      <c r="F70" s="33" t="s">
        <v>2</v>
      </c>
      <c r="G70" s="34" t="s">
        <v>9</v>
      </c>
      <c r="H70" s="34" t="s">
        <v>8</v>
      </c>
      <c r="I70" s="63" t="s">
        <v>10</v>
      </c>
      <c r="J70" s="37" t="s">
        <v>9</v>
      </c>
      <c r="M70" s="29">
        <v>6.6</v>
      </c>
      <c r="N70" s="22">
        <v>2.9</v>
      </c>
      <c r="O70" s="22">
        <v>4.5999999999999996</v>
      </c>
      <c r="P70" s="22">
        <v>1.3</v>
      </c>
      <c r="Q70" s="22" t="s">
        <v>1</v>
      </c>
      <c r="R70" s="18" t="s">
        <v>10</v>
      </c>
      <c r="S70" s="18" t="s">
        <v>8</v>
      </c>
      <c r="T70" s="61" t="s">
        <v>9</v>
      </c>
      <c r="U70" s="30" t="s">
        <v>9</v>
      </c>
    </row>
    <row r="71" spans="2:21">
      <c r="M71" s="31">
        <v>5.2</v>
      </c>
      <c r="N71" s="18">
        <v>2.7</v>
      </c>
      <c r="O71" s="18">
        <v>3.9</v>
      </c>
      <c r="P71" s="18">
        <v>1.4</v>
      </c>
      <c r="Q71" s="18" t="s">
        <v>1</v>
      </c>
      <c r="R71" s="18" t="s">
        <v>8</v>
      </c>
      <c r="S71" s="18" t="s">
        <v>8</v>
      </c>
      <c r="T71" s="61" t="s">
        <v>9</v>
      </c>
      <c r="U71" s="30" t="s">
        <v>9</v>
      </c>
    </row>
    <row r="72" spans="2:21">
      <c r="M72" s="29">
        <v>5</v>
      </c>
      <c r="N72" s="22">
        <v>2</v>
      </c>
      <c r="O72" s="22">
        <v>3.5</v>
      </c>
      <c r="P72" s="22">
        <v>1</v>
      </c>
      <c r="Q72" s="22" t="s">
        <v>1</v>
      </c>
      <c r="R72" s="18" t="s">
        <v>8</v>
      </c>
      <c r="S72" s="18" t="s">
        <v>8</v>
      </c>
      <c r="T72" s="61" t="s">
        <v>9</v>
      </c>
      <c r="U72" s="30" t="s">
        <v>9</v>
      </c>
    </row>
    <row r="73" spans="2:21">
      <c r="M73" s="31">
        <v>5.9</v>
      </c>
      <c r="N73" s="18">
        <v>3</v>
      </c>
      <c r="O73" s="18">
        <v>4.2</v>
      </c>
      <c r="P73" s="18">
        <v>1.5</v>
      </c>
      <c r="Q73" s="18" t="s">
        <v>1</v>
      </c>
      <c r="R73" s="18" t="s">
        <v>9</v>
      </c>
      <c r="S73" s="18" t="s">
        <v>9</v>
      </c>
      <c r="T73" s="61" t="s">
        <v>9</v>
      </c>
      <c r="U73" s="30" t="s">
        <v>9</v>
      </c>
    </row>
    <row r="74" spans="2:21">
      <c r="M74" s="29">
        <v>6</v>
      </c>
      <c r="N74" s="22">
        <v>2.2000000000000002</v>
      </c>
      <c r="O74" s="22">
        <v>4</v>
      </c>
      <c r="P74" s="22">
        <v>1</v>
      </c>
      <c r="Q74" s="22" t="s">
        <v>1</v>
      </c>
      <c r="R74" s="18" t="s">
        <v>9</v>
      </c>
      <c r="S74" s="18" t="s">
        <v>8</v>
      </c>
      <c r="T74" s="61" t="s">
        <v>9</v>
      </c>
      <c r="U74" s="30" t="s">
        <v>9</v>
      </c>
    </row>
    <row r="75" spans="2:21">
      <c r="M75" s="31">
        <v>6.1</v>
      </c>
      <c r="N75" s="18">
        <v>2.9</v>
      </c>
      <c r="O75" s="18">
        <v>4.7</v>
      </c>
      <c r="P75" s="18">
        <v>1.4</v>
      </c>
      <c r="Q75" s="18" t="s">
        <v>1</v>
      </c>
      <c r="R75" s="18" t="s">
        <v>9</v>
      </c>
      <c r="S75" s="18" t="s">
        <v>8</v>
      </c>
      <c r="T75" s="61" t="s">
        <v>9</v>
      </c>
      <c r="U75" s="30" t="s">
        <v>9</v>
      </c>
    </row>
    <row r="76" spans="2:21">
      <c r="M76" s="29">
        <v>5.6</v>
      </c>
      <c r="N76" s="22">
        <v>2.9</v>
      </c>
      <c r="O76" s="22">
        <v>3.6</v>
      </c>
      <c r="P76" s="22">
        <v>1.3</v>
      </c>
      <c r="Q76" s="22" t="s">
        <v>1</v>
      </c>
      <c r="R76" s="18" t="s">
        <v>9</v>
      </c>
      <c r="S76" s="18" t="s">
        <v>8</v>
      </c>
      <c r="T76" s="61" t="s">
        <v>9</v>
      </c>
      <c r="U76" s="30" t="s">
        <v>9</v>
      </c>
    </row>
    <row r="77" spans="2:21">
      <c r="M77" s="31">
        <v>6.7</v>
      </c>
      <c r="N77" s="18">
        <v>3.1</v>
      </c>
      <c r="O77" s="18">
        <v>4.4000000000000004</v>
      </c>
      <c r="P77" s="18">
        <v>1.4</v>
      </c>
      <c r="Q77" s="18" t="s">
        <v>1</v>
      </c>
      <c r="R77" s="18" t="s">
        <v>10</v>
      </c>
      <c r="S77" s="18" t="s">
        <v>9</v>
      </c>
      <c r="T77" s="61" t="s">
        <v>9</v>
      </c>
      <c r="U77" s="30" t="s">
        <v>9</v>
      </c>
    </row>
    <row r="78" spans="2:21">
      <c r="M78" s="29">
        <v>5.6</v>
      </c>
      <c r="N78" s="22">
        <v>3</v>
      </c>
      <c r="O78" s="22">
        <v>4.5</v>
      </c>
      <c r="P78" s="22">
        <v>1.5</v>
      </c>
      <c r="Q78" s="22" t="s">
        <v>1</v>
      </c>
      <c r="R78" s="18" t="s">
        <v>9</v>
      </c>
      <c r="S78" s="18" t="s">
        <v>9</v>
      </c>
      <c r="T78" s="61" t="s">
        <v>9</v>
      </c>
      <c r="U78" s="30" t="s">
        <v>9</v>
      </c>
    </row>
    <row r="79" spans="2:21">
      <c r="M79" s="31">
        <v>5.8</v>
      </c>
      <c r="N79" s="18">
        <v>2.7</v>
      </c>
      <c r="O79" s="18">
        <v>4.0999999999999996</v>
      </c>
      <c r="P79" s="18">
        <v>1</v>
      </c>
      <c r="Q79" s="18" t="s">
        <v>1</v>
      </c>
      <c r="R79" s="18" t="s">
        <v>9</v>
      </c>
      <c r="S79" s="18" t="s">
        <v>8</v>
      </c>
      <c r="T79" s="61" t="s">
        <v>9</v>
      </c>
      <c r="U79" s="30" t="s">
        <v>9</v>
      </c>
    </row>
    <row r="80" spans="2:21">
      <c r="M80" s="29">
        <v>6.2</v>
      </c>
      <c r="N80" s="22">
        <v>2.2000000000000002</v>
      </c>
      <c r="O80" s="22">
        <v>4.5</v>
      </c>
      <c r="P80" s="22">
        <v>1.5</v>
      </c>
      <c r="Q80" s="22" t="s">
        <v>1</v>
      </c>
      <c r="R80" s="18" t="s">
        <v>9</v>
      </c>
      <c r="S80" s="18" t="s">
        <v>8</v>
      </c>
      <c r="T80" s="61" t="s">
        <v>9</v>
      </c>
      <c r="U80" s="30" t="s">
        <v>9</v>
      </c>
    </row>
    <row r="81" spans="13:21">
      <c r="M81" s="31">
        <v>5.6</v>
      </c>
      <c r="N81" s="18">
        <v>2.5</v>
      </c>
      <c r="O81" s="18">
        <v>3.9</v>
      </c>
      <c r="P81" s="18">
        <v>1.1000000000000001</v>
      </c>
      <c r="Q81" s="18" t="s">
        <v>1</v>
      </c>
      <c r="R81" s="18" t="s">
        <v>9</v>
      </c>
      <c r="S81" s="18" t="s">
        <v>8</v>
      </c>
      <c r="T81" s="61" t="s">
        <v>9</v>
      </c>
      <c r="U81" s="30" t="s">
        <v>9</v>
      </c>
    </row>
    <row r="82" spans="13:21">
      <c r="M82" s="31">
        <v>6.1</v>
      </c>
      <c r="N82" s="18">
        <v>2.8</v>
      </c>
      <c r="O82" s="18">
        <v>4</v>
      </c>
      <c r="P82" s="18">
        <v>1.3</v>
      </c>
      <c r="Q82" s="18" t="s">
        <v>1</v>
      </c>
      <c r="R82" s="18" t="s">
        <v>9</v>
      </c>
      <c r="S82" s="18" t="s">
        <v>8</v>
      </c>
      <c r="T82" s="61" t="s">
        <v>9</v>
      </c>
      <c r="U82" s="30" t="s">
        <v>9</v>
      </c>
    </row>
    <row r="83" spans="13:21">
      <c r="M83" s="31">
        <v>6.1</v>
      </c>
      <c r="N83" s="18">
        <v>2.8</v>
      </c>
      <c r="O83" s="18">
        <v>4.7</v>
      </c>
      <c r="P83" s="18">
        <v>1.2</v>
      </c>
      <c r="Q83" s="18" t="s">
        <v>1</v>
      </c>
      <c r="R83" s="18" t="s">
        <v>9</v>
      </c>
      <c r="S83" s="18" t="s">
        <v>8</v>
      </c>
      <c r="T83" s="61" t="s">
        <v>9</v>
      </c>
      <c r="U83" s="30" t="s">
        <v>9</v>
      </c>
    </row>
    <row r="84" spans="13:21">
      <c r="M84" s="29">
        <v>6.4</v>
      </c>
      <c r="N84" s="22">
        <v>2.9</v>
      </c>
      <c r="O84" s="22">
        <v>4.3</v>
      </c>
      <c r="P84" s="22">
        <v>1.3</v>
      </c>
      <c r="Q84" s="22" t="s">
        <v>1</v>
      </c>
      <c r="R84" s="18" t="s">
        <v>9</v>
      </c>
      <c r="S84" s="18" t="s">
        <v>8</v>
      </c>
      <c r="T84" s="61" t="s">
        <v>9</v>
      </c>
      <c r="U84" s="30" t="s">
        <v>9</v>
      </c>
    </row>
    <row r="85" spans="13:21">
      <c r="M85" s="31">
        <v>6.6</v>
      </c>
      <c r="N85" s="18">
        <v>3</v>
      </c>
      <c r="O85" s="18">
        <v>4.4000000000000004</v>
      </c>
      <c r="P85" s="18">
        <v>1.4</v>
      </c>
      <c r="Q85" s="18" t="s">
        <v>1</v>
      </c>
      <c r="R85" s="18" t="s">
        <v>10</v>
      </c>
      <c r="S85" s="18" t="s">
        <v>9</v>
      </c>
      <c r="T85" s="61" t="s">
        <v>9</v>
      </c>
      <c r="U85" s="30" t="s">
        <v>9</v>
      </c>
    </row>
    <row r="86" spans="13:21">
      <c r="M86" s="29">
        <v>6.8</v>
      </c>
      <c r="N86" s="22">
        <v>2.8</v>
      </c>
      <c r="O86" s="22">
        <v>4.8</v>
      </c>
      <c r="P86" s="22">
        <v>1.4</v>
      </c>
      <c r="Q86" s="22" t="s">
        <v>1</v>
      </c>
      <c r="R86" s="18" t="s">
        <v>10</v>
      </c>
      <c r="S86" s="18" t="s">
        <v>8</v>
      </c>
      <c r="T86" s="61" t="s">
        <v>9</v>
      </c>
      <c r="U86" s="30" t="s">
        <v>9</v>
      </c>
    </row>
    <row r="87" spans="13:21">
      <c r="M87" s="29">
        <v>6</v>
      </c>
      <c r="N87" s="22">
        <v>2.9</v>
      </c>
      <c r="O87" s="22">
        <v>4.5</v>
      </c>
      <c r="P87" s="22">
        <v>1.5</v>
      </c>
      <c r="Q87" s="22" t="s">
        <v>1</v>
      </c>
      <c r="R87" s="18" t="s">
        <v>9</v>
      </c>
      <c r="S87" s="18" t="s">
        <v>8</v>
      </c>
      <c r="T87" s="61" t="s">
        <v>9</v>
      </c>
      <c r="U87" s="30" t="s">
        <v>9</v>
      </c>
    </row>
    <row r="88" spans="13:21">
      <c r="M88" s="31">
        <v>5.7</v>
      </c>
      <c r="N88" s="18">
        <v>2.6</v>
      </c>
      <c r="O88" s="18">
        <v>3.5</v>
      </c>
      <c r="P88" s="18">
        <v>1</v>
      </c>
      <c r="Q88" s="18" t="s">
        <v>1</v>
      </c>
      <c r="R88" s="18" t="s">
        <v>9</v>
      </c>
      <c r="S88" s="18" t="s">
        <v>8</v>
      </c>
      <c r="T88" s="61" t="s">
        <v>9</v>
      </c>
      <c r="U88" s="30" t="s">
        <v>9</v>
      </c>
    </row>
    <row r="89" spans="13:21">
      <c r="M89" s="29">
        <v>5.5</v>
      </c>
      <c r="N89" s="22">
        <v>2.4</v>
      </c>
      <c r="O89" s="22">
        <v>3.8</v>
      </c>
      <c r="P89" s="22">
        <v>1.1000000000000001</v>
      </c>
      <c r="Q89" s="22" t="s">
        <v>1</v>
      </c>
      <c r="R89" s="18" t="s">
        <v>8</v>
      </c>
      <c r="S89" s="18" t="s">
        <v>8</v>
      </c>
      <c r="T89" s="61" t="s">
        <v>9</v>
      </c>
      <c r="U89" s="30" t="s">
        <v>9</v>
      </c>
    </row>
    <row r="90" spans="13:21">
      <c r="M90" s="31">
        <v>5.5</v>
      </c>
      <c r="N90" s="18">
        <v>2.4</v>
      </c>
      <c r="O90" s="18">
        <v>3.7</v>
      </c>
      <c r="P90" s="18">
        <v>1</v>
      </c>
      <c r="Q90" s="18" t="s">
        <v>1</v>
      </c>
      <c r="R90" s="18" t="s">
        <v>8</v>
      </c>
      <c r="S90" s="18" t="s">
        <v>8</v>
      </c>
      <c r="T90" s="61" t="s">
        <v>9</v>
      </c>
      <c r="U90" s="30" t="s">
        <v>9</v>
      </c>
    </row>
    <row r="91" spans="13:21">
      <c r="M91" s="29">
        <v>5.8</v>
      </c>
      <c r="N91" s="22">
        <v>2.7</v>
      </c>
      <c r="O91" s="22">
        <v>3.9</v>
      </c>
      <c r="P91" s="22">
        <v>1.2</v>
      </c>
      <c r="Q91" s="22" t="s">
        <v>1</v>
      </c>
      <c r="R91" s="18" t="s">
        <v>9</v>
      </c>
      <c r="S91" s="18" t="s">
        <v>8</v>
      </c>
      <c r="T91" s="61" t="s">
        <v>9</v>
      </c>
      <c r="U91" s="30" t="s">
        <v>9</v>
      </c>
    </row>
    <row r="92" spans="13:21">
      <c r="M92" s="29">
        <v>5.4</v>
      </c>
      <c r="N92" s="22">
        <v>3</v>
      </c>
      <c r="O92" s="22">
        <v>4.5</v>
      </c>
      <c r="P92" s="22">
        <v>1.5</v>
      </c>
      <c r="Q92" s="22" t="s">
        <v>1</v>
      </c>
      <c r="R92" s="18" t="s">
        <v>8</v>
      </c>
      <c r="S92" s="18" t="s">
        <v>9</v>
      </c>
      <c r="T92" s="61" t="s">
        <v>9</v>
      </c>
      <c r="U92" s="30" t="s">
        <v>9</v>
      </c>
    </row>
    <row r="93" spans="13:21">
      <c r="M93" s="31">
        <v>6</v>
      </c>
      <c r="N93" s="18">
        <v>3.4</v>
      </c>
      <c r="O93" s="18">
        <v>4.5</v>
      </c>
      <c r="P93" s="18">
        <v>1.6</v>
      </c>
      <c r="Q93" s="18" t="s">
        <v>1</v>
      </c>
      <c r="R93" s="18" t="s">
        <v>9</v>
      </c>
      <c r="S93" s="18" t="s">
        <v>9</v>
      </c>
      <c r="T93" s="61" t="s">
        <v>9</v>
      </c>
      <c r="U93" s="30" t="s">
        <v>9</v>
      </c>
    </row>
    <row r="94" spans="13:21">
      <c r="M94" s="29">
        <v>6.7</v>
      </c>
      <c r="N94" s="22">
        <v>3.1</v>
      </c>
      <c r="O94" s="22">
        <v>4.7</v>
      </c>
      <c r="P94" s="22">
        <v>1.5</v>
      </c>
      <c r="Q94" s="22" t="s">
        <v>1</v>
      </c>
      <c r="R94" s="18" t="s">
        <v>10</v>
      </c>
      <c r="S94" s="18" t="s">
        <v>9</v>
      </c>
      <c r="T94" s="61" t="s">
        <v>9</v>
      </c>
      <c r="U94" s="30" t="s">
        <v>9</v>
      </c>
    </row>
    <row r="95" spans="13:21">
      <c r="M95" s="31">
        <v>6.3</v>
      </c>
      <c r="N95" s="18">
        <v>2.2999999999999998</v>
      </c>
      <c r="O95" s="18">
        <v>4.4000000000000004</v>
      </c>
      <c r="P95" s="18">
        <v>1.3</v>
      </c>
      <c r="Q95" s="18" t="s">
        <v>1</v>
      </c>
      <c r="R95" s="18" t="s">
        <v>9</v>
      </c>
      <c r="S95" s="18" t="s">
        <v>8</v>
      </c>
      <c r="T95" s="61" t="s">
        <v>9</v>
      </c>
      <c r="U95" s="30" t="s">
        <v>9</v>
      </c>
    </row>
    <row r="96" spans="13:21">
      <c r="M96" s="29">
        <v>5.6</v>
      </c>
      <c r="N96" s="22">
        <v>3</v>
      </c>
      <c r="O96" s="22">
        <v>4.0999999999999996</v>
      </c>
      <c r="P96" s="22">
        <v>1.3</v>
      </c>
      <c r="Q96" s="22" t="s">
        <v>1</v>
      </c>
      <c r="R96" s="18" t="s">
        <v>9</v>
      </c>
      <c r="S96" s="18" t="s">
        <v>9</v>
      </c>
      <c r="T96" s="61" t="s">
        <v>9</v>
      </c>
      <c r="U96" s="30" t="s">
        <v>9</v>
      </c>
    </row>
    <row r="97" spans="13:21">
      <c r="M97" s="31">
        <v>5.5</v>
      </c>
      <c r="N97" s="18">
        <v>2.5</v>
      </c>
      <c r="O97" s="18">
        <v>4</v>
      </c>
      <c r="P97" s="18">
        <v>1.3</v>
      </c>
      <c r="Q97" s="18" t="s">
        <v>1</v>
      </c>
      <c r="R97" s="18" t="s">
        <v>8</v>
      </c>
      <c r="S97" s="18" t="s">
        <v>8</v>
      </c>
      <c r="T97" s="61" t="s">
        <v>9</v>
      </c>
      <c r="U97" s="30" t="s">
        <v>9</v>
      </c>
    </row>
    <row r="98" spans="13:21">
      <c r="M98" s="29">
        <v>5.5</v>
      </c>
      <c r="N98" s="22">
        <v>2.6</v>
      </c>
      <c r="O98" s="22">
        <v>4.4000000000000004</v>
      </c>
      <c r="P98" s="22">
        <v>1.2</v>
      </c>
      <c r="Q98" s="22" t="s">
        <v>1</v>
      </c>
      <c r="R98" s="18" t="s">
        <v>8</v>
      </c>
      <c r="S98" s="18" t="s">
        <v>8</v>
      </c>
      <c r="T98" s="61" t="s">
        <v>9</v>
      </c>
      <c r="U98" s="30" t="s">
        <v>9</v>
      </c>
    </row>
    <row r="99" spans="13:21">
      <c r="M99" s="31">
        <v>6.1</v>
      </c>
      <c r="N99" s="18">
        <v>3</v>
      </c>
      <c r="O99" s="18">
        <v>4.5999999999999996</v>
      </c>
      <c r="P99" s="18">
        <v>1.4</v>
      </c>
      <c r="Q99" s="18" t="s">
        <v>1</v>
      </c>
      <c r="R99" s="18" t="s">
        <v>9</v>
      </c>
      <c r="S99" s="18" t="s">
        <v>9</v>
      </c>
      <c r="T99" s="61" t="s">
        <v>9</v>
      </c>
      <c r="U99" s="30" t="s">
        <v>9</v>
      </c>
    </row>
    <row r="100" spans="13:21">
      <c r="M100" s="29">
        <v>5.8</v>
      </c>
      <c r="N100" s="22">
        <v>2.6</v>
      </c>
      <c r="O100" s="22">
        <v>4</v>
      </c>
      <c r="P100" s="22">
        <v>1.2</v>
      </c>
      <c r="Q100" s="22" t="s">
        <v>1</v>
      </c>
      <c r="R100" s="18" t="s">
        <v>9</v>
      </c>
      <c r="S100" s="18" t="s">
        <v>8</v>
      </c>
      <c r="T100" s="61" t="s">
        <v>9</v>
      </c>
      <c r="U100" s="30" t="s">
        <v>9</v>
      </c>
    </row>
    <row r="101" spans="13:21">
      <c r="M101" s="31">
        <v>5</v>
      </c>
      <c r="N101" s="18">
        <v>2.2999999999999998</v>
      </c>
      <c r="O101" s="18">
        <v>3.3</v>
      </c>
      <c r="P101" s="18">
        <v>1</v>
      </c>
      <c r="Q101" s="18" t="s">
        <v>1</v>
      </c>
      <c r="R101" s="18" t="s">
        <v>8</v>
      </c>
      <c r="S101" s="18" t="s">
        <v>8</v>
      </c>
      <c r="T101" s="61" t="s">
        <v>9</v>
      </c>
      <c r="U101" s="30" t="s">
        <v>9</v>
      </c>
    </row>
    <row r="102" spans="13:21">
      <c r="M102" s="29">
        <v>5.6</v>
      </c>
      <c r="N102" s="22">
        <v>2.7</v>
      </c>
      <c r="O102" s="22">
        <v>4.2</v>
      </c>
      <c r="P102" s="22">
        <v>1.3</v>
      </c>
      <c r="Q102" s="22" t="s">
        <v>1</v>
      </c>
      <c r="R102" s="18" t="s">
        <v>9</v>
      </c>
      <c r="S102" s="18" t="s">
        <v>8</v>
      </c>
      <c r="T102" s="61" t="s">
        <v>9</v>
      </c>
      <c r="U102" s="30" t="s">
        <v>9</v>
      </c>
    </row>
    <row r="103" spans="13:21">
      <c r="M103" s="31">
        <v>5.7</v>
      </c>
      <c r="N103" s="18">
        <v>3</v>
      </c>
      <c r="O103" s="18">
        <v>4.2</v>
      </c>
      <c r="P103" s="18">
        <v>1.2</v>
      </c>
      <c r="Q103" s="18" t="s">
        <v>1</v>
      </c>
      <c r="R103" s="18" t="s">
        <v>9</v>
      </c>
      <c r="S103" s="18" t="s">
        <v>9</v>
      </c>
      <c r="T103" s="61" t="s">
        <v>9</v>
      </c>
      <c r="U103" s="30" t="s">
        <v>9</v>
      </c>
    </row>
    <row r="104" spans="13:21">
      <c r="M104" s="29">
        <v>5.7</v>
      </c>
      <c r="N104" s="22">
        <v>2.9</v>
      </c>
      <c r="O104" s="22">
        <v>4.2</v>
      </c>
      <c r="P104" s="22">
        <v>1.3</v>
      </c>
      <c r="Q104" s="22" t="s">
        <v>1</v>
      </c>
      <c r="R104" s="18" t="s">
        <v>9</v>
      </c>
      <c r="S104" s="18" t="s">
        <v>8</v>
      </c>
      <c r="T104" s="61" t="s">
        <v>9</v>
      </c>
      <c r="U104" s="30" t="s">
        <v>9</v>
      </c>
    </row>
    <row r="105" spans="13:21">
      <c r="M105" s="31">
        <v>6.2</v>
      </c>
      <c r="N105" s="18">
        <v>2.9</v>
      </c>
      <c r="O105" s="18">
        <v>4.3</v>
      </c>
      <c r="P105" s="18">
        <v>1.3</v>
      </c>
      <c r="Q105" s="18" t="s">
        <v>1</v>
      </c>
      <c r="R105" s="18" t="s">
        <v>9</v>
      </c>
      <c r="S105" s="18" t="s">
        <v>8</v>
      </c>
      <c r="T105" s="61" t="s">
        <v>9</v>
      </c>
      <c r="U105" s="30" t="s">
        <v>9</v>
      </c>
    </row>
    <row r="106" spans="13:21">
      <c r="M106" s="29">
        <v>5.0999999999999996</v>
      </c>
      <c r="N106" s="22">
        <v>2.5</v>
      </c>
      <c r="O106" s="22">
        <v>3</v>
      </c>
      <c r="P106" s="22">
        <v>1.1000000000000001</v>
      </c>
      <c r="Q106" s="22" t="s">
        <v>1</v>
      </c>
      <c r="R106" s="18" t="s">
        <v>8</v>
      </c>
      <c r="S106" s="18" t="s">
        <v>8</v>
      </c>
      <c r="T106" s="61" t="s">
        <v>9</v>
      </c>
      <c r="U106" s="30" t="s">
        <v>9</v>
      </c>
    </row>
    <row r="107" spans="13:21">
      <c r="M107" s="31">
        <v>5.7</v>
      </c>
      <c r="N107" s="18">
        <v>2.8</v>
      </c>
      <c r="O107" s="18">
        <v>4.0999999999999996</v>
      </c>
      <c r="P107" s="18">
        <v>1.3</v>
      </c>
      <c r="Q107" s="18" t="s">
        <v>1</v>
      </c>
      <c r="R107" s="18" t="s">
        <v>9</v>
      </c>
      <c r="S107" s="18" t="s">
        <v>8</v>
      </c>
      <c r="T107" s="61" t="s">
        <v>9</v>
      </c>
      <c r="U107" s="30" t="s">
        <v>9</v>
      </c>
    </row>
    <row r="108" spans="13:21">
      <c r="M108" s="32">
        <v>4.9000000000000004</v>
      </c>
      <c r="N108" s="33">
        <v>2.5</v>
      </c>
      <c r="O108" s="33">
        <v>4.5</v>
      </c>
      <c r="P108" s="33">
        <v>1.7</v>
      </c>
      <c r="Q108" s="33" t="s">
        <v>2</v>
      </c>
      <c r="R108" s="47" t="s">
        <v>8</v>
      </c>
      <c r="S108" s="47" t="s">
        <v>8</v>
      </c>
      <c r="T108" s="63" t="s">
        <v>9</v>
      </c>
      <c r="U108" s="37" t="s">
        <v>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B6D8-A897-4BB4-9457-86BDEDFC3630}">
  <dimension ref="B2:AF82"/>
  <sheetViews>
    <sheetView topLeftCell="R38" workbookViewId="0">
      <selection activeCell="X60" sqref="X60"/>
    </sheetView>
  </sheetViews>
  <sheetFormatPr baseColWidth="10" defaultRowHeight="15"/>
  <cols>
    <col min="2" max="2" width="18.7109375" customWidth="1"/>
    <col min="3" max="3" width="17" customWidth="1"/>
    <col min="4" max="4" width="18.7109375" customWidth="1"/>
    <col min="5" max="5" width="16.85546875" customWidth="1"/>
    <col min="7" max="7" width="19.7109375" customWidth="1"/>
    <col min="8" max="8" width="18" customWidth="1"/>
    <col min="9" max="9" width="19.7109375" customWidth="1"/>
    <col min="10" max="10" width="17.85546875" customWidth="1"/>
    <col min="13" max="13" width="18.7109375" customWidth="1"/>
    <col min="14" max="14" width="17" customWidth="1"/>
    <col min="15" max="15" width="18.7109375" customWidth="1"/>
    <col min="16" max="16" width="16.85546875" customWidth="1"/>
    <col min="18" max="18" width="19.7109375" customWidth="1"/>
    <col min="19" max="19" width="18" customWidth="1"/>
    <col min="20" max="20" width="19.7109375" customWidth="1"/>
    <col min="21" max="21" width="17.85546875" customWidth="1"/>
    <col min="24" max="24" width="18.7109375" customWidth="1"/>
    <col min="25" max="25" width="17" customWidth="1"/>
    <col min="26" max="26" width="18.7109375" customWidth="1"/>
    <col min="27" max="27" width="16.85546875" customWidth="1"/>
    <col min="29" max="29" width="19.7109375" customWidth="1"/>
    <col min="30" max="30" width="18" customWidth="1"/>
    <col min="31" max="31" width="19.7109375" customWidth="1"/>
    <col min="32" max="32" width="17.85546875" customWidth="1"/>
  </cols>
  <sheetData>
    <row r="2" spans="2:13">
      <c r="B2" s="65" t="s">
        <v>28</v>
      </c>
      <c r="C2" s="66" t="s">
        <v>29</v>
      </c>
      <c r="D2" s="66" t="s">
        <v>30</v>
      </c>
      <c r="E2" s="66" t="s">
        <v>31</v>
      </c>
      <c r="F2" s="66" t="s">
        <v>24</v>
      </c>
      <c r="G2" s="66" t="s">
        <v>32</v>
      </c>
      <c r="H2" s="66" t="s">
        <v>33</v>
      </c>
      <c r="I2" s="66" t="s">
        <v>34</v>
      </c>
      <c r="J2" s="67" t="s">
        <v>35</v>
      </c>
      <c r="M2" s="11"/>
    </row>
    <row r="3" spans="2:13">
      <c r="B3" s="29">
        <v>7</v>
      </c>
      <c r="C3" s="22">
        <v>3.2</v>
      </c>
      <c r="D3" s="22">
        <v>4.7</v>
      </c>
      <c r="E3" s="22">
        <v>1.4</v>
      </c>
      <c r="F3" s="22" t="s">
        <v>1</v>
      </c>
      <c r="G3" s="18" t="s">
        <v>10</v>
      </c>
      <c r="H3" s="18" t="s">
        <v>9</v>
      </c>
      <c r="I3" s="61" t="s">
        <v>9</v>
      </c>
      <c r="J3" s="30" t="s">
        <v>9</v>
      </c>
    </row>
    <row r="4" spans="2:13">
      <c r="B4" s="31">
        <v>6.4</v>
      </c>
      <c r="C4" s="18">
        <v>3.2</v>
      </c>
      <c r="D4" s="18">
        <v>4.5</v>
      </c>
      <c r="E4" s="18">
        <v>1.5</v>
      </c>
      <c r="F4" s="18" t="s">
        <v>1</v>
      </c>
      <c r="G4" s="18" t="s">
        <v>9</v>
      </c>
      <c r="H4" s="18" t="s">
        <v>9</v>
      </c>
      <c r="I4" s="61" t="s">
        <v>9</v>
      </c>
      <c r="J4" s="30" t="s">
        <v>9</v>
      </c>
    </row>
    <row r="5" spans="2:13">
      <c r="B5" s="31">
        <v>5.5</v>
      </c>
      <c r="C5" s="18">
        <v>2.2999999999999998</v>
      </c>
      <c r="D5" s="18">
        <v>4</v>
      </c>
      <c r="E5" s="18">
        <v>1.3</v>
      </c>
      <c r="F5" s="18" t="s">
        <v>1</v>
      </c>
      <c r="G5" s="18" t="s">
        <v>8</v>
      </c>
      <c r="H5" s="18" t="s">
        <v>8</v>
      </c>
      <c r="I5" s="61" t="s">
        <v>9</v>
      </c>
      <c r="J5" s="30" t="s">
        <v>9</v>
      </c>
    </row>
    <row r="6" spans="2:13">
      <c r="B6" s="29">
        <v>6.5</v>
      </c>
      <c r="C6" s="22">
        <v>2.8</v>
      </c>
      <c r="D6" s="22">
        <v>4.5999999999999996</v>
      </c>
      <c r="E6" s="22">
        <v>1.5</v>
      </c>
      <c r="F6" s="22" t="s">
        <v>1</v>
      </c>
      <c r="G6" s="18" t="s">
        <v>9</v>
      </c>
      <c r="H6" s="18" t="s">
        <v>8</v>
      </c>
      <c r="I6" s="61" t="s">
        <v>9</v>
      </c>
      <c r="J6" s="30" t="s">
        <v>9</v>
      </c>
    </row>
    <row r="7" spans="2:13">
      <c r="B7" s="31">
        <v>5.7</v>
      </c>
      <c r="C7" s="18">
        <v>2.8</v>
      </c>
      <c r="D7" s="18">
        <v>4.5</v>
      </c>
      <c r="E7" s="18">
        <v>1.3</v>
      </c>
      <c r="F7" s="18" t="s">
        <v>1</v>
      </c>
      <c r="G7" s="18" t="s">
        <v>9</v>
      </c>
      <c r="H7" s="18" t="s">
        <v>8</v>
      </c>
      <c r="I7" s="61" t="s">
        <v>9</v>
      </c>
      <c r="J7" s="30" t="s">
        <v>9</v>
      </c>
    </row>
    <row r="8" spans="2:13">
      <c r="B8" s="29">
        <v>6.3</v>
      </c>
      <c r="C8" s="22">
        <v>3.3</v>
      </c>
      <c r="D8" s="22">
        <v>4.7</v>
      </c>
      <c r="E8" s="22">
        <v>1.6</v>
      </c>
      <c r="F8" s="22" t="s">
        <v>1</v>
      </c>
      <c r="G8" s="18" t="s">
        <v>9</v>
      </c>
      <c r="H8" s="18" t="s">
        <v>9</v>
      </c>
      <c r="I8" s="61" t="s">
        <v>9</v>
      </c>
      <c r="J8" s="30" t="s">
        <v>9</v>
      </c>
    </row>
    <row r="9" spans="2:13">
      <c r="B9" s="31">
        <v>4.9000000000000004</v>
      </c>
      <c r="C9" s="18">
        <v>2.4</v>
      </c>
      <c r="D9" s="18">
        <v>3.3</v>
      </c>
      <c r="E9" s="18">
        <v>1</v>
      </c>
      <c r="F9" s="18" t="s">
        <v>1</v>
      </c>
      <c r="G9" s="18" t="s">
        <v>8</v>
      </c>
      <c r="H9" s="18" t="s">
        <v>8</v>
      </c>
      <c r="I9" s="61" t="s">
        <v>9</v>
      </c>
      <c r="J9" s="30" t="s">
        <v>9</v>
      </c>
    </row>
    <row r="10" spans="2:13">
      <c r="B10" s="29">
        <v>6.6</v>
      </c>
      <c r="C10" s="22">
        <v>2.9</v>
      </c>
      <c r="D10" s="22">
        <v>4.5999999999999996</v>
      </c>
      <c r="E10" s="22">
        <v>1.3</v>
      </c>
      <c r="F10" s="22" t="s">
        <v>1</v>
      </c>
      <c r="G10" s="18" t="s">
        <v>10</v>
      </c>
      <c r="H10" s="18" t="s">
        <v>8</v>
      </c>
      <c r="I10" s="61" t="s">
        <v>9</v>
      </c>
      <c r="J10" s="30" t="s">
        <v>9</v>
      </c>
    </row>
    <row r="11" spans="2:13">
      <c r="B11" s="31">
        <v>5.2</v>
      </c>
      <c r="C11" s="18">
        <v>2.7</v>
      </c>
      <c r="D11" s="18">
        <v>3.9</v>
      </c>
      <c r="E11" s="18">
        <v>1.4</v>
      </c>
      <c r="F11" s="18" t="s">
        <v>1</v>
      </c>
      <c r="G11" s="18" t="s">
        <v>8</v>
      </c>
      <c r="H11" s="18" t="s">
        <v>8</v>
      </c>
      <c r="I11" s="61" t="s">
        <v>9</v>
      </c>
      <c r="J11" s="30" t="s">
        <v>9</v>
      </c>
    </row>
    <row r="12" spans="2:13">
      <c r="B12" s="29">
        <v>5</v>
      </c>
      <c r="C12" s="22">
        <v>2</v>
      </c>
      <c r="D12" s="22">
        <v>3.5</v>
      </c>
      <c r="E12" s="22">
        <v>1</v>
      </c>
      <c r="F12" s="22" t="s">
        <v>1</v>
      </c>
      <c r="G12" s="18" t="s">
        <v>8</v>
      </c>
      <c r="H12" s="18" t="s">
        <v>8</v>
      </c>
      <c r="I12" s="61" t="s">
        <v>9</v>
      </c>
      <c r="J12" s="30" t="s">
        <v>9</v>
      </c>
    </row>
    <row r="13" spans="2:13">
      <c r="B13" s="31">
        <v>5.9</v>
      </c>
      <c r="C13" s="18">
        <v>3</v>
      </c>
      <c r="D13" s="18">
        <v>4.2</v>
      </c>
      <c r="E13" s="18">
        <v>1.5</v>
      </c>
      <c r="F13" s="18" t="s">
        <v>1</v>
      </c>
      <c r="G13" s="18" t="s">
        <v>9</v>
      </c>
      <c r="H13" s="18" t="s">
        <v>9</v>
      </c>
      <c r="I13" s="61" t="s">
        <v>9</v>
      </c>
      <c r="J13" s="30" t="s">
        <v>9</v>
      </c>
    </row>
    <row r="14" spans="2:13">
      <c r="B14" s="29">
        <v>6</v>
      </c>
      <c r="C14" s="22">
        <v>2.2000000000000002</v>
      </c>
      <c r="D14" s="22">
        <v>4</v>
      </c>
      <c r="E14" s="22">
        <v>1</v>
      </c>
      <c r="F14" s="22" t="s">
        <v>1</v>
      </c>
      <c r="G14" s="18" t="s">
        <v>9</v>
      </c>
      <c r="H14" s="18" t="s">
        <v>8</v>
      </c>
      <c r="I14" s="61" t="s">
        <v>9</v>
      </c>
      <c r="J14" s="30" t="s">
        <v>9</v>
      </c>
    </row>
    <row r="15" spans="2:13">
      <c r="B15" s="31">
        <v>6.1</v>
      </c>
      <c r="C15" s="18">
        <v>2.9</v>
      </c>
      <c r="D15" s="18">
        <v>4.7</v>
      </c>
      <c r="E15" s="18">
        <v>1.4</v>
      </c>
      <c r="F15" s="18" t="s">
        <v>1</v>
      </c>
      <c r="G15" s="18" t="s">
        <v>9</v>
      </c>
      <c r="H15" s="18" t="s">
        <v>8</v>
      </c>
      <c r="I15" s="61" t="s">
        <v>9</v>
      </c>
      <c r="J15" s="30" t="s">
        <v>9</v>
      </c>
    </row>
    <row r="16" spans="2:13">
      <c r="B16" s="29">
        <v>5.6</v>
      </c>
      <c r="C16" s="22">
        <v>2.9</v>
      </c>
      <c r="D16" s="22">
        <v>3.6</v>
      </c>
      <c r="E16" s="22">
        <v>1.3</v>
      </c>
      <c r="F16" s="22" t="s">
        <v>1</v>
      </c>
      <c r="G16" s="18" t="s">
        <v>9</v>
      </c>
      <c r="H16" s="18" t="s">
        <v>8</v>
      </c>
      <c r="I16" s="61" t="s">
        <v>9</v>
      </c>
      <c r="J16" s="30" t="s">
        <v>9</v>
      </c>
    </row>
    <row r="17" spans="2:10">
      <c r="B17" s="31">
        <v>6.7</v>
      </c>
      <c r="C17" s="18">
        <v>3.1</v>
      </c>
      <c r="D17" s="18">
        <v>4.4000000000000004</v>
      </c>
      <c r="E17" s="18">
        <v>1.4</v>
      </c>
      <c r="F17" s="18" t="s">
        <v>1</v>
      </c>
      <c r="G17" s="18" t="s">
        <v>10</v>
      </c>
      <c r="H17" s="18" t="s">
        <v>9</v>
      </c>
      <c r="I17" s="61" t="s">
        <v>9</v>
      </c>
      <c r="J17" s="30" t="s">
        <v>9</v>
      </c>
    </row>
    <row r="18" spans="2:10">
      <c r="B18" s="29">
        <v>5.6</v>
      </c>
      <c r="C18" s="22">
        <v>3</v>
      </c>
      <c r="D18" s="22">
        <v>4.5</v>
      </c>
      <c r="E18" s="22">
        <v>1.5</v>
      </c>
      <c r="F18" s="22" t="s">
        <v>1</v>
      </c>
      <c r="G18" s="18" t="s">
        <v>9</v>
      </c>
      <c r="H18" s="18" t="s">
        <v>9</v>
      </c>
      <c r="I18" s="61" t="s">
        <v>9</v>
      </c>
      <c r="J18" s="30" t="s">
        <v>9</v>
      </c>
    </row>
    <row r="19" spans="2:10">
      <c r="B19" s="31">
        <v>5.8</v>
      </c>
      <c r="C19" s="18">
        <v>2.7</v>
      </c>
      <c r="D19" s="18">
        <v>4.0999999999999996</v>
      </c>
      <c r="E19" s="18">
        <v>1</v>
      </c>
      <c r="F19" s="18" t="s">
        <v>1</v>
      </c>
      <c r="G19" s="18" t="s">
        <v>9</v>
      </c>
      <c r="H19" s="18" t="s">
        <v>8</v>
      </c>
      <c r="I19" s="61" t="s">
        <v>9</v>
      </c>
      <c r="J19" s="30" t="s">
        <v>9</v>
      </c>
    </row>
    <row r="20" spans="2:10">
      <c r="B20" s="29">
        <v>6.2</v>
      </c>
      <c r="C20" s="22">
        <v>2.2000000000000002</v>
      </c>
      <c r="D20" s="22">
        <v>4.5</v>
      </c>
      <c r="E20" s="22">
        <v>1.5</v>
      </c>
      <c r="F20" s="22" t="s">
        <v>1</v>
      </c>
      <c r="G20" s="18" t="s">
        <v>9</v>
      </c>
      <c r="H20" s="18" t="s">
        <v>8</v>
      </c>
      <c r="I20" s="61" t="s">
        <v>9</v>
      </c>
      <c r="J20" s="30" t="s">
        <v>9</v>
      </c>
    </row>
    <row r="21" spans="2:10">
      <c r="B21" s="31">
        <v>5.6</v>
      </c>
      <c r="C21" s="18">
        <v>2.5</v>
      </c>
      <c r="D21" s="18">
        <v>3.9</v>
      </c>
      <c r="E21" s="18">
        <v>1.1000000000000001</v>
      </c>
      <c r="F21" s="18" t="s">
        <v>1</v>
      </c>
      <c r="G21" s="18" t="s">
        <v>9</v>
      </c>
      <c r="H21" s="18" t="s">
        <v>8</v>
      </c>
      <c r="I21" s="61" t="s">
        <v>9</v>
      </c>
      <c r="J21" s="30" t="s">
        <v>9</v>
      </c>
    </row>
    <row r="22" spans="2:10">
      <c r="B22" s="31">
        <v>6.1</v>
      </c>
      <c r="C22" s="18">
        <v>2.8</v>
      </c>
      <c r="D22" s="18">
        <v>4</v>
      </c>
      <c r="E22" s="18">
        <v>1.3</v>
      </c>
      <c r="F22" s="18" t="s">
        <v>1</v>
      </c>
      <c r="G22" s="18" t="s">
        <v>9</v>
      </c>
      <c r="H22" s="18" t="s">
        <v>8</v>
      </c>
      <c r="I22" s="61" t="s">
        <v>9</v>
      </c>
      <c r="J22" s="30" t="s">
        <v>9</v>
      </c>
    </row>
    <row r="23" spans="2:10">
      <c r="B23" s="31">
        <v>6.1</v>
      </c>
      <c r="C23" s="18">
        <v>2.8</v>
      </c>
      <c r="D23" s="18">
        <v>4.7</v>
      </c>
      <c r="E23" s="18">
        <v>1.2</v>
      </c>
      <c r="F23" s="18" t="s">
        <v>1</v>
      </c>
      <c r="G23" s="18" t="s">
        <v>9</v>
      </c>
      <c r="H23" s="18" t="s">
        <v>8</v>
      </c>
      <c r="I23" s="61" t="s">
        <v>9</v>
      </c>
      <c r="J23" s="30" t="s">
        <v>9</v>
      </c>
    </row>
    <row r="24" spans="2:10">
      <c r="B24" s="29">
        <v>6.4</v>
      </c>
      <c r="C24" s="22">
        <v>2.9</v>
      </c>
      <c r="D24" s="22">
        <v>4.3</v>
      </c>
      <c r="E24" s="22">
        <v>1.3</v>
      </c>
      <c r="F24" s="22" t="s">
        <v>1</v>
      </c>
      <c r="G24" s="18" t="s">
        <v>9</v>
      </c>
      <c r="H24" s="18" t="s">
        <v>8</v>
      </c>
      <c r="I24" s="61" t="s">
        <v>9</v>
      </c>
      <c r="J24" s="30" t="s">
        <v>9</v>
      </c>
    </row>
    <row r="25" spans="2:10">
      <c r="B25" s="31">
        <v>6.6</v>
      </c>
      <c r="C25" s="18">
        <v>3</v>
      </c>
      <c r="D25" s="18">
        <v>4.4000000000000004</v>
      </c>
      <c r="E25" s="18">
        <v>1.4</v>
      </c>
      <c r="F25" s="18" t="s">
        <v>1</v>
      </c>
      <c r="G25" s="18" t="s">
        <v>10</v>
      </c>
      <c r="H25" s="18" t="s">
        <v>9</v>
      </c>
      <c r="I25" s="61" t="s">
        <v>9</v>
      </c>
      <c r="J25" s="30" t="s">
        <v>9</v>
      </c>
    </row>
    <row r="26" spans="2:10">
      <c r="B26" s="29">
        <v>6.8</v>
      </c>
      <c r="C26" s="22">
        <v>2.8</v>
      </c>
      <c r="D26" s="22">
        <v>4.8</v>
      </c>
      <c r="E26" s="22">
        <v>1.4</v>
      </c>
      <c r="F26" s="22" t="s">
        <v>1</v>
      </c>
      <c r="G26" s="18" t="s">
        <v>10</v>
      </c>
      <c r="H26" s="18" t="s">
        <v>8</v>
      </c>
      <c r="I26" s="61" t="s">
        <v>9</v>
      </c>
      <c r="J26" s="30" t="s">
        <v>9</v>
      </c>
    </row>
    <row r="27" spans="2:10">
      <c r="B27" s="29">
        <v>6</v>
      </c>
      <c r="C27" s="22">
        <v>2.9</v>
      </c>
      <c r="D27" s="22">
        <v>4.5</v>
      </c>
      <c r="E27" s="22">
        <v>1.5</v>
      </c>
      <c r="F27" s="22" t="s">
        <v>1</v>
      </c>
      <c r="G27" s="18" t="s">
        <v>9</v>
      </c>
      <c r="H27" s="18" t="s">
        <v>8</v>
      </c>
      <c r="I27" s="61" t="s">
        <v>9</v>
      </c>
      <c r="J27" s="30" t="s">
        <v>9</v>
      </c>
    </row>
    <row r="28" spans="2:10">
      <c r="B28" s="31">
        <v>5.7</v>
      </c>
      <c r="C28" s="18">
        <v>2.6</v>
      </c>
      <c r="D28" s="18">
        <v>3.5</v>
      </c>
      <c r="E28" s="18">
        <v>1</v>
      </c>
      <c r="F28" s="18" t="s">
        <v>1</v>
      </c>
      <c r="G28" s="18" t="s">
        <v>9</v>
      </c>
      <c r="H28" s="18" t="s">
        <v>8</v>
      </c>
      <c r="I28" s="61" t="s">
        <v>9</v>
      </c>
      <c r="J28" s="30" t="s">
        <v>9</v>
      </c>
    </row>
    <row r="29" spans="2:10">
      <c r="B29" s="29">
        <v>5.5</v>
      </c>
      <c r="C29" s="22">
        <v>2.4</v>
      </c>
      <c r="D29" s="22">
        <v>3.8</v>
      </c>
      <c r="E29" s="22">
        <v>1.1000000000000001</v>
      </c>
      <c r="F29" s="22" t="s">
        <v>1</v>
      </c>
      <c r="G29" s="18" t="s">
        <v>8</v>
      </c>
      <c r="H29" s="18" t="s">
        <v>8</v>
      </c>
      <c r="I29" s="61" t="s">
        <v>9</v>
      </c>
      <c r="J29" s="30" t="s">
        <v>9</v>
      </c>
    </row>
    <row r="30" spans="2:10">
      <c r="B30" s="31">
        <v>5.5</v>
      </c>
      <c r="C30" s="18">
        <v>2.4</v>
      </c>
      <c r="D30" s="18">
        <v>3.7</v>
      </c>
      <c r="E30" s="18">
        <v>1</v>
      </c>
      <c r="F30" s="18" t="s">
        <v>1</v>
      </c>
      <c r="G30" s="18" t="s">
        <v>8</v>
      </c>
      <c r="H30" s="18" t="s">
        <v>8</v>
      </c>
      <c r="I30" s="61" t="s">
        <v>9</v>
      </c>
      <c r="J30" s="30" t="s">
        <v>9</v>
      </c>
    </row>
    <row r="31" spans="2:10">
      <c r="B31" s="29">
        <v>5.8</v>
      </c>
      <c r="C31" s="22">
        <v>2.7</v>
      </c>
      <c r="D31" s="22">
        <v>3.9</v>
      </c>
      <c r="E31" s="22">
        <v>1.2</v>
      </c>
      <c r="F31" s="22" t="s">
        <v>1</v>
      </c>
      <c r="G31" s="18" t="s">
        <v>9</v>
      </c>
      <c r="H31" s="18" t="s">
        <v>8</v>
      </c>
      <c r="I31" s="61" t="s">
        <v>9</v>
      </c>
      <c r="J31" s="30" t="s">
        <v>9</v>
      </c>
    </row>
    <row r="32" spans="2:10">
      <c r="B32" s="29">
        <v>5.4</v>
      </c>
      <c r="C32" s="22">
        <v>3</v>
      </c>
      <c r="D32" s="22">
        <v>4.5</v>
      </c>
      <c r="E32" s="22">
        <v>1.5</v>
      </c>
      <c r="F32" s="22" t="s">
        <v>1</v>
      </c>
      <c r="G32" s="18" t="s">
        <v>8</v>
      </c>
      <c r="H32" s="18" t="s">
        <v>9</v>
      </c>
      <c r="I32" s="61" t="s">
        <v>9</v>
      </c>
      <c r="J32" s="30" t="s">
        <v>9</v>
      </c>
    </row>
    <row r="33" spans="2:10">
      <c r="B33" s="31">
        <v>6</v>
      </c>
      <c r="C33" s="18">
        <v>3.4</v>
      </c>
      <c r="D33" s="18">
        <v>4.5</v>
      </c>
      <c r="E33" s="18">
        <v>1.6</v>
      </c>
      <c r="F33" s="18" t="s">
        <v>1</v>
      </c>
      <c r="G33" s="18" t="s">
        <v>9</v>
      </c>
      <c r="H33" s="18" t="s">
        <v>9</v>
      </c>
      <c r="I33" s="61" t="s">
        <v>9</v>
      </c>
      <c r="J33" s="30" t="s">
        <v>9</v>
      </c>
    </row>
    <row r="34" spans="2:10">
      <c r="B34" s="29">
        <v>6.7</v>
      </c>
      <c r="C34" s="22">
        <v>3.1</v>
      </c>
      <c r="D34" s="22">
        <v>4.7</v>
      </c>
      <c r="E34" s="22">
        <v>1.5</v>
      </c>
      <c r="F34" s="22" t="s">
        <v>1</v>
      </c>
      <c r="G34" s="18" t="s">
        <v>10</v>
      </c>
      <c r="H34" s="18" t="s">
        <v>9</v>
      </c>
      <c r="I34" s="61" t="s">
        <v>9</v>
      </c>
      <c r="J34" s="30" t="s">
        <v>9</v>
      </c>
    </row>
    <row r="35" spans="2:10">
      <c r="B35" s="31">
        <v>6.3</v>
      </c>
      <c r="C35" s="18">
        <v>2.2999999999999998</v>
      </c>
      <c r="D35" s="18">
        <v>4.4000000000000004</v>
      </c>
      <c r="E35" s="18">
        <v>1.3</v>
      </c>
      <c r="F35" s="18" t="s">
        <v>1</v>
      </c>
      <c r="G35" s="18" t="s">
        <v>9</v>
      </c>
      <c r="H35" s="18" t="s">
        <v>8</v>
      </c>
      <c r="I35" s="61" t="s">
        <v>9</v>
      </c>
      <c r="J35" s="30" t="s">
        <v>9</v>
      </c>
    </row>
    <row r="36" spans="2:10">
      <c r="B36" s="29">
        <v>5.6</v>
      </c>
      <c r="C36" s="22">
        <v>3</v>
      </c>
      <c r="D36" s="22">
        <v>4.0999999999999996</v>
      </c>
      <c r="E36" s="22">
        <v>1.3</v>
      </c>
      <c r="F36" s="22" t="s">
        <v>1</v>
      </c>
      <c r="G36" s="18" t="s">
        <v>9</v>
      </c>
      <c r="H36" s="18" t="s">
        <v>9</v>
      </c>
      <c r="I36" s="61" t="s">
        <v>9</v>
      </c>
      <c r="J36" s="30" t="s">
        <v>9</v>
      </c>
    </row>
    <row r="37" spans="2:10">
      <c r="B37" s="31">
        <v>5.5</v>
      </c>
      <c r="C37" s="18">
        <v>2.5</v>
      </c>
      <c r="D37" s="18">
        <v>4</v>
      </c>
      <c r="E37" s="18">
        <v>1.3</v>
      </c>
      <c r="F37" s="18" t="s">
        <v>1</v>
      </c>
      <c r="G37" s="18" t="s">
        <v>8</v>
      </c>
      <c r="H37" s="18" t="s">
        <v>8</v>
      </c>
      <c r="I37" s="61" t="s">
        <v>9</v>
      </c>
      <c r="J37" s="30" t="s">
        <v>9</v>
      </c>
    </row>
    <row r="38" spans="2:10">
      <c r="B38" s="29">
        <v>5.5</v>
      </c>
      <c r="C38" s="22">
        <v>2.6</v>
      </c>
      <c r="D38" s="22">
        <v>4.4000000000000004</v>
      </c>
      <c r="E38" s="22">
        <v>1.2</v>
      </c>
      <c r="F38" s="22" t="s">
        <v>1</v>
      </c>
      <c r="G38" s="18" t="s">
        <v>8</v>
      </c>
      <c r="H38" s="18" t="s">
        <v>8</v>
      </c>
      <c r="I38" s="61" t="s">
        <v>9</v>
      </c>
      <c r="J38" s="30" t="s">
        <v>9</v>
      </c>
    </row>
    <row r="39" spans="2:10">
      <c r="B39" s="31">
        <v>6.1</v>
      </c>
      <c r="C39" s="18">
        <v>3</v>
      </c>
      <c r="D39" s="18">
        <v>4.5999999999999996</v>
      </c>
      <c r="E39" s="18">
        <v>1.4</v>
      </c>
      <c r="F39" s="18" t="s">
        <v>1</v>
      </c>
      <c r="G39" s="18" t="s">
        <v>9</v>
      </c>
      <c r="H39" s="18" t="s">
        <v>9</v>
      </c>
      <c r="I39" s="61" t="s">
        <v>9</v>
      </c>
      <c r="J39" s="30" t="s">
        <v>9</v>
      </c>
    </row>
    <row r="40" spans="2:10">
      <c r="B40" s="29">
        <v>5.8</v>
      </c>
      <c r="C40" s="22">
        <v>2.6</v>
      </c>
      <c r="D40" s="22">
        <v>4</v>
      </c>
      <c r="E40" s="22">
        <v>1.2</v>
      </c>
      <c r="F40" s="22" t="s">
        <v>1</v>
      </c>
      <c r="G40" s="18" t="s">
        <v>9</v>
      </c>
      <c r="H40" s="18" t="s">
        <v>8</v>
      </c>
      <c r="I40" s="61" t="s">
        <v>9</v>
      </c>
      <c r="J40" s="30" t="s">
        <v>9</v>
      </c>
    </row>
    <row r="41" spans="2:10">
      <c r="B41" s="31">
        <v>5</v>
      </c>
      <c r="C41" s="18">
        <v>2.2999999999999998</v>
      </c>
      <c r="D41" s="18">
        <v>3.3</v>
      </c>
      <c r="E41" s="18">
        <v>1</v>
      </c>
      <c r="F41" s="18" t="s">
        <v>1</v>
      </c>
      <c r="G41" s="18" t="s">
        <v>8</v>
      </c>
      <c r="H41" s="18" t="s">
        <v>8</v>
      </c>
      <c r="I41" s="61" t="s">
        <v>9</v>
      </c>
      <c r="J41" s="30" t="s">
        <v>9</v>
      </c>
    </row>
    <row r="42" spans="2:10">
      <c r="B42" s="29">
        <v>5.6</v>
      </c>
      <c r="C42" s="22">
        <v>2.7</v>
      </c>
      <c r="D42" s="22">
        <v>4.2</v>
      </c>
      <c r="E42" s="22">
        <v>1.3</v>
      </c>
      <c r="F42" s="22" t="s">
        <v>1</v>
      </c>
      <c r="G42" s="18" t="s">
        <v>9</v>
      </c>
      <c r="H42" s="18" t="s">
        <v>8</v>
      </c>
      <c r="I42" s="61" t="s">
        <v>9</v>
      </c>
      <c r="J42" s="30" t="s">
        <v>9</v>
      </c>
    </row>
    <row r="43" spans="2:10">
      <c r="B43" s="31">
        <v>5.7</v>
      </c>
      <c r="C43" s="18">
        <v>3</v>
      </c>
      <c r="D43" s="18">
        <v>4.2</v>
      </c>
      <c r="E43" s="18">
        <v>1.2</v>
      </c>
      <c r="F43" s="18" t="s">
        <v>1</v>
      </c>
      <c r="G43" s="18" t="s">
        <v>9</v>
      </c>
      <c r="H43" s="18" t="s">
        <v>9</v>
      </c>
      <c r="I43" s="61" t="s">
        <v>9</v>
      </c>
      <c r="J43" s="30" t="s">
        <v>9</v>
      </c>
    </row>
    <row r="44" spans="2:10">
      <c r="B44" s="29">
        <v>5.7</v>
      </c>
      <c r="C44" s="22">
        <v>2.9</v>
      </c>
      <c r="D44" s="22">
        <v>4.2</v>
      </c>
      <c r="E44" s="22">
        <v>1.3</v>
      </c>
      <c r="F44" s="22" t="s">
        <v>1</v>
      </c>
      <c r="G44" s="18" t="s">
        <v>9</v>
      </c>
      <c r="H44" s="18" t="s">
        <v>8</v>
      </c>
      <c r="I44" s="61" t="s">
        <v>9</v>
      </c>
      <c r="J44" s="30" t="s">
        <v>9</v>
      </c>
    </row>
    <row r="45" spans="2:10">
      <c r="B45" s="31">
        <v>6.2</v>
      </c>
      <c r="C45" s="18">
        <v>2.9</v>
      </c>
      <c r="D45" s="18">
        <v>4.3</v>
      </c>
      <c r="E45" s="18">
        <v>1.3</v>
      </c>
      <c r="F45" s="18" t="s">
        <v>1</v>
      </c>
      <c r="G45" s="18" t="s">
        <v>9</v>
      </c>
      <c r="H45" s="18" t="s">
        <v>8</v>
      </c>
      <c r="I45" s="61" t="s">
        <v>9</v>
      </c>
      <c r="J45" s="30" t="s">
        <v>9</v>
      </c>
    </row>
    <row r="46" spans="2:10">
      <c r="B46" s="29">
        <v>5.0999999999999996</v>
      </c>
      <c r="C46" s="22">
        <v>2.5</v>
      </c>
      <c r="D46" s="22">
        <v>3</v>
      </c>
      <c r="E46" s="22">
        <v>1.1000000000000001</v>
      </c>
      <c r="F46" s="22" t="s">
        <v>1</v>
      </c>
      <c r="G46" s="18" t="s">
        <v>8</v>
      </c>
      <c r="H46" s="18" t="s">
        <v>8</v>
      </c>
      <c r="I46" s="61" t="s">
        <v>9</v>
      </c>
      <c r="J46" s="30" t="s">
        <v>9</v>
      </c>
    </row>
    <row r="47" spans="2:10">
      <c r="B47" s="31">
        <v>5.7</v>
      </c>
      <c r="C47" s="18">
        <v>2.8</v>
      </c>
      <c r="D47" s="18">
        <v>4.0999999999999996</v>
      </c>
      <c r="E47" s="18">
        <v>1.3</v>
      </c>
      <c r="F47" s="18" t="s">
        <v>1</v>
      </c>
      <c r="G47" s="18" t="s">
        <v>9</v>
      </c>
      <c r="H47" s="18" t="s">
        <v>8</v>
      </c>
      <c r="I47" s="61" t="s">
        <v>9</v>
      </c>
      <c r="J47" s="30" t="s">
        <v>9</v>
      </c>
    </row>
    <row r="48" spans="2:10">
      <c r="B48" s="32">
        <v>4.9000000000000004</v>
      </c>
      <c r="C48" s="33">
        <v>2.5</v>
      </c>
      <c r="D48" s="33">
        <v>4.5</v>
      </c>
      <c r="E48" s="33">
        <v>1.7</v>
      </c>
      <c r="F48" s="33" t="s">
        <v>2</v>
      </c>
      <c r="G48" s="47" t="s">
        <v>8</v>
      </c>
      <c r="H48" s="47" t="s">
        <v>8</v>
      </c>
      <c r="I48" s="63" t="s">
        <v>9</v>
      </c>
      <c r="J48" s="37" t="s">
        <v>9</v>
      </c>
    </row>
    <row r="51" spans="2:32">
      <c r="D51" s="14" t="s">
        <v>15</v>
      </c>
      <c r="E51" s="12">
        <v>0.151</v>
      </c>
      <c r="G51" s="15" t="s">
        <v>19</v>
      </c>
      <c r="H51" s="13">
        <v>4.3200000000000002E-2</v>
      </c>
    </row>
    <row r="53" spans="2:32">
      <c r="B53" s="17" t="s">
        <v>16</v>
      </c>
      <c r="C53" s="16">
        <v>0</v>
      </c>
      <c r="M53" s="17" t="s">
        <v>17</v>
      </c>
      <c r="N53" s="16">
        <v>0</v>
      </c>
      <c r="X53" s="24" t="s">
        <v>18</v>
      </c>
      <c r="Y53" s="25">
        <v>0.41299999999999998</v>
      </c>
    </row>
    <row r="54" spans="2:32">
      <c r="B54" s="26" t="s">
        <v>28</v>
      </c>
      <c r="C54" s="27" t="s">
        <v>29</v>
      </c>
      <c r="D54" s="27" t="s">
        <v>30</v>
      </c>
      <c r="E54" s="27" t="s">
        <v>31</v>
      </c>
      <c r="F54" s="27" t="s">
        <v>24</v>
      </c>
      <c r="G54" s="27" t="s">
        <v>32</v>
      </c>
      <c r="H54" s="27" t="s">
        <v>33</v>
      </c>
      <c r="I54" s="27" t="s">
        <v>34</v>
      </c>
      <c r="J54" s="28" t="s">
        <v>35</v>
      </c>
      <c r="M54" s="81" t="s">
        <v>28</v>
      </c>
      <c r="N54" s="82" t="s">
        <v>29</v>
      </c>
      <c r="O54" s="82" t="s">
        <v>30</v>
      </c>
      <c r="P54" s="82" t="s">
        <v>31</v>
      </c>
      <c r="Q54" s="82" t="s">
        <v>24</v>
      </c>
      <c r="R54" s="82" t="s">
        <v>32</v>
      </c>
      <c r="S54" s="82" t="s">
        <v>33</v>
      </c>
      <c r="T54" s="82" t="s">
        <v>34</v>
      </c>
      <c r="U54" s="83" t="s">
        <v>35</v>
      </c>
      <c r="X54" s="84" t="s">
        <v>28</v>
      </c>
      <c r="Y54" s="85" t="s">
        <v>29</v>
      </c>
      <c r="Z54" s="85" t="s">
        <v>30</v>
      </c>
      <c r="AA54" s="85" t="s">
        <v>31</v>
      </c>
      <c r="AB54" s="85" t="s">
        <v>24</v>
      </c>
      <c r="AC54" s="85" t="s">
        <v>32</v>
      </c>
      <c r="AD54" s="85" t="s">
        <v>33</v>
      </c>
      <c r="AE54" s="85" t="s">
        <v>34</v>
      </c>
      <c r="AF54" s="86" t="s">
        <v>35</v>
      </c>
    </row>
    <row r="55" spans="2:32">
      <c r="B55" s="29">
        <v>7</v>
      </c>
      <c r="C55" s="22">
        <v>3.2</v>
      </c>
      <c r="D55" s="22">
        <v>4.7</v>
      </c>
      <c r="E55" s="22">
        <v>1.4</v>
      </c>
      <c r="F55" s="22" t="s">
        <v>1</v>
      </c>
      <c r="G55" s="19" t="s">
        <v>10</v>
      </c>
      <c r="H55" s="18" t="s">
        <v>9</v>
      </c>
      <c r="I55" s="61" t="s">
        <v>9</v>
      </c>
      <c r="J55" s="30" t="s">
        <v>9</v>
      </c>
      <c r="M55" s="31">
        <v>6.4</v>
      </c>
      <c r="N55" s="18">
        <v>3.2</v>
      </c>
      <c r="O55" s="18">
        <v>4.5</v>
      </c>
      <c r="P55" s="18">
        <v>1.5</v>
      </c>
      <c r="Q55" s="18" t="s">
        <v>1</v>
      </c>
      <c r="R55" s="19" t="s">
        <v>9</v>
      </c>
      <c r="S55" s="18" t="s">
        <v>9</v>
      </c>
      <c r="T55" s="61" t="s">
        <v>9</v>
      </c>
      <c r="U55" s="30" t="s">
        <v>9</v>
      </c>
      <c r="X55" s="31">
        <v>5.5</v>
      </c>
      <c r="Y55" s="18">
        <v>2.2999999999999998</v>
      </c>
      <c r="Z55" s="18">
        <v>4</v>
      </c>
      <c r="AA55" s="18">
        <v>1.3</v>
      </c>
      <c r="AB55" s="18" t="s">
        <v>1</v>
      </c>
      <c r="AC55" s="19" t="s">
        <v>8</v>
      </c>
      <c r="AD55" s="18" t="s">
        <v>8</v>
      </c>
      <c r="AE55" s="61" t="s">
        <v>9</v>
      </c>
      <c r="AF55" s="30" t="s">
        <v>9</v>
      </c>
    </row>
    <row r="56" spans="2:32">
      <c r="B56" s="29">
        <v>6.6</v>
      </c>
      <c r="C56" s="22">
        <v>2.9</v>
      </c>
      <c r="D56" s="22">
        <v>4.5999999999999996</v>
      </c>
      <c r="E56" s="22">
        <v>1.3</v>
      </c>
      <c r="F56" s="22" t="s">
        <v>1</v>
      </c>
      <c r="G56" s="19" t="s">
        <v>10</v>
      </c>
      <c r="H56" s="18" t="s">
        <v>8</v>
      </c>
      <c r="I56" s="61" t="s">
        <v>9</v>
      </c>
      <c r="J56" s="30" t="s">
        <v>9</v>
      </c>
      <c r="M56" s="29">
        <v>6.5</v>
      </c>
      <c r="N56" s="22">
        <v>2.8</v>
      </c>
      <c r="O56" s="22">
        <v>4.5999999999999996</v>
      </c>
      <c r="P56" s="22">
        <v>1.5</v>
      </c>
      <c r="Q56" s="22" t="s">
        <v>1</v>
      </c>
      <c r="R56" s="19" t="s">
        <v>9</v>
      </c>
      <c r="S56" s="18" t="s">
        <v>8</v>
      </c>
      <c r="T56" s="61" t="s">
        <v>9</v>
      </c>
      <c r="U56" s="30" t="s">
        <v>9</v>
      </c>
      <c r="X56" s="31">
        <v>4.9000000000000004</v>
      </c>
      <c r="Y56" s="18">
        <v>2.4</v>
      </c>
      <c r="Z56" s="18">
        <v>3.3</v>
      </c>
      <c r="AA56" s="18">
        <v>1</v>
      </c>
      <c r="AB56" s="18" t="s">
        <v>1</v>
      </c>
      <c r="AC56" s="19" t="s">
        <v>8</v>
      </c>
      <c r="AD56" s="18" t="s">
        <v>8</v>
      </c>
      <c r="AE56" s="61" t="s">
        <v>9</v>
      </c>
      <c r="AF56" s="30" t="s">
        <v>9</v>
      </c>
    </row>
    <row r="57" spans="2:32">
      <c r="B57" s="31">
        <v>6.7</v>
      </c>
      <c r="C57" s="18">
        <v>3.1</v>
      </c>
      <c r="D57" s="18">
        <v>4.4000000000000004</v>
      </c>
      <c r="E57" s="18">
        <v>1.4</v>
      </c>
      <c r="F57" s="18" t="s">
        <v>1</v>
      </c>
      <c r="G57" s="19" t="s">
        <v>10</v>
      </c>
      <c r="H57" s="18" t="s">
        <v>9</v>
      </c>
      <c r="I57" s="61" t="s">
        <v>9</v>
      </c>
      <c r="J57" s="30" t="s">
        <v>9</v>
      </c>
      <c r="M57" s="31">
        <v>5.7</v>
      </c>
      <c r="N57" s="18">
        <v>2.8</v>
      </c>
      <c r="O57" s="18">
        <v>4.5</v>
      </c>
      <c r="P57" s="18">
        <v>1.3</v>
      </c>
      <c r="Q57" s="18" t="s">
        <v>1</v>
      </c>
      <c r="R57" s="19" t="s">
        <v>9</v>
      </c>
      <c r="S57" s="18" t="s">
        <v>8</v>
      </c>
      <c r="T57" s="61" t="s">
        <v>9</v>
      </c>
      <c r="U57" s="30" t="s">
        <v>9</v>
      </c>
      <c r="X57" s="31">
        <v>5.2</v>
      </c>
      <c r="Y57" s="18">
        <v>2.7</v>
      </c>
      <c r="Z57" s="18">
        <v>3.9</v>
      </c>
      <c r="AA57" s="18">
        <v>1.4</v>
      </c>
      <c r="AB57" s="18" t="s">
        <v>1</v>
      </c>
      <c r="AC57" s="19" t="s">
        <v>8</v>
      </c>
      <c r="AD57" s="18" t="s">
        <v>8</v>
      </c>
      <c r="AE57" s="61" t="s">
        <v>9</v>
      </c>
      <c r="AF57" s="30" t="s">
        <v>9</v>
      </c>
    </row>
    <row r="58" spans="2:32">
      <c r="B58" s="31">
        <v>6.6</v>
      </c>
      <c r="C58" s="18">
        <v>3</v>
      </c>
      <c r="D58" s="18">
        <v>4.4000000000000004</v>
      </c>
      <c r="E58" s="18">
        <v>1.4</v>
      </c>
      <c r="F58" s="18" t="s">
        <v>1</v>
      </c>
      <c r="G58" s="19" t="s">
        <v>10</v>
      </c>
      <c r="H58" s="18" t="s">
        <v>9</v>
      </c>
      <c r="I58" s="61" t="s">
        <v>9</v>
      </c>
      <c r="J58" s="30" t="s">
        <v>9</v>
      </c>
      <c r="M58" s="29">
        <v>6.3</v>
      </c>
      <c r="N58" s="22">
        <v>3.3</v>
      </c>
      <c r="O58" s="22">
        <v>4.7</v>
      </c>
      <c r="P58" s="22">
        <v>1.6</v>
      </c>
      <c r="Q58" s="22" t="s">
        <v>1</v>
      </c>
      <c r="R58" s="19" t="s">
        <v>9</v>
      </c>
      <c r="S58" s="18" t="s">
        <v>9</v>
      </c>
      <c r="T58" s="61" t="s">
        <v>9</v>
      </c>
      <c r="U58" s="30" t="s">
        <v>9</v>
      </c>
      <c r="X58" s="29">
        <v>5</v>
      </c>
      <c r="Y58" s="22">
        <v>2</v>
      </c>
      <c r="Z58" s="22">
        <v>3.5</v>
      </c>
      <c r="AA58" s="22">
        <v>1</v>
      </c>
      <c r="AB58" s="22" t="s">
        <v>1</v>
      </c>
      <c r="AC58" s="19" t="s">
        <v>8</v>
      </c>
      <c r="AD58" s="18" t="s">
        <v>8</v>
      </c>
      <c r="AE58" s="61" t="s">
        <v>9</v>
      </c>
      <c r="AF58" s="30" t="s">
        <v>9</v>
      </c>
    </row>
    <row r="59" spans="2:32">
      <c r="B59" s="29">
        <v>6.8</v>
      </c>
      <c r="C59" s="22">
        <v>2.8</v>
      </c>
      <c r="D59" s="22">
        <v>4.8</v>
      </c>
      <c r="E59" s="22">
        <v>1.4</v>
      </c>
      <c r="F59" s="22" t="s">
        <v>1</v>
      </c>
      <c r="G59" s="19" t="s">
        <v>10</v>
      </c>
      <c r="H59" s="18" t="s">
        <v>8</v>
      </c>
      <c r="I59" s="61" t="s">
        <v>9</v>
      </c>
      <c r="J59" s="30" t="s">
        <v>9</v>
      </c>
      <c r="M59" s="31">
        <v>5.9</v>
      </c>
      <c r="N59" s="18">
        <v>3</v>
      </c>
      <c r="O59" s="18">
        <v>4.2</v>
      </c>
      <c r="P59" s="18">
        <v>1.5</v>
      </c>
      <c r="Q59" s="18" t="s">
        <v>1</v>
      </c>
      <c r="R59" s="19" t="s">
        <v>9</v>
      </c>
      <c r="S59" s="18" t="s">
        <v>9</v>
      </c>
      <c r="T59" s="61" t="s">
        <v>9</v>
      </c>
      <c r="U59" s="30" t="s">
        <v>9</v>
      </c>
      <c r="X59" s="29">
        <v>5.5</v>
      </c>
      <c r="Y59" s="22">
        <v>2.4</v>
      </c>
      <c r="Z59" s="22">
        <v>3.8</v>
      </c>
      <c r="AA59" s="22">
        <v>1.1000000000000001</v>
      </c>
      <c r="AB59" s="22" t="s">
        <v>1</v>
      </c>
      <c r="AC59" s="19" t="s">
        <v>8</v>
      </c>
      <c r="AD59" s="18" t="s">
        <v>8</v>
      </c>
      <c r="AE59" s="61" t="s">
        <v>9</v>
      </c>
      <c r="AF59" s="30" t="s">
        <v>9</v>
      </c>
    </row>
    <row r="60" spans="2:32">
      <c r="B60" s="32">
        <v>6.7</v>
      </c>
      <c r="C60" s="33">
        <v>3.1</v>
      </c>
      <c r="D60" s="33">
        <v>4.7</v>
      </c>
      <c r="E60" s="33">
        <v>1.5</v>
      </c>
      <c r="F60" s="33" t="s">
        <v>1</v>
      </c>
      <c r="G60" s="35" t="s">
        <v>10</v>
      </c>
      <c r="H60" s="47" t="s">
        <v>9</v>
      </c>
      <c r="I60" s="63" t="s">
        <v>9</v>
      </c>
      <c r="J60" s="37" t="s">
        <v>9</v>
      </c>
      <c r="M60" s="29">
        <v>6</v>
      </c>
      <c r="N60" s="22">
        <v>2.2000000000000002</v>
      </c>
      <c r="O60" s="22">
        <v>4</v>
      </c>
      <c r="P60" s="22">
        <v>1</v>
      </c>
      <c r="Q60" s="22" t="s">
        <v>1</v>
      </c>
      <c r="R60" s="19" t="s">
        <v>9</v>
      </c>
      <c r="S60" s="18" t="s">
        <v>8</v>
      </c>
      <c r="T60" s="61" t="s">
        <v>9</v>
      </c>
      <c r="U60" s="30" t="s">
        <v>9</v>
      </c>
      <c r="X60" s="31">
        <v>5.5</v>
      </c>
      <c r="Y60" s="18">
        <v>2.4</v>
      </c>
      <c r="Z60" s="18">
        <v>3.7</v>
      </c>
      <c r="AA60" s="18">
        <v>1</v>
      </c>
      <c r="AB60" s="18" t="s">
        <v>1</v>
      </c>
      <c r="AC60" s="19" t="s">
        <v>8</v>
      </c>
      <c r="AD60" s="18" t="s">
        <v>8</v>
      </c>
      <c r="AE60" s="61" t="s">
        <v>9</v>
      </c>
      <c r="AF60" s="30" t="s">
        <v>9</v>
      </c>
    </row>
    <row r="61" spans="2:32">
      <c r="M61" s="31">
        <v>6.1</v>
      </c>
      <c r="N61" s="18">
        <v>2.9</v>
      </c>
      <c r="O61" s="18">
        <v>4.7</v>
      </c>
      <c r="P61" s="18">
        <v>1.4</v>
      </c>
      <c r="Q61" s="18" t="s">
        <v>1</v>
      </c>
      <c r="R61" s="19" t="s">
        <v>9</v>
      </c>
      <c r="S61" s="18" t="s">
        <v>8</v>
      </c>
      <c r="T61" s="61" t="s">
        <v>9</v>
      </c>
      <c r="U61" s="30" t="s">
        <v>9</v>
      </c>
      <c r="X61" s="29">
        <v>5.4</v>
      </c>
      <c r="Y61" s="22">
        <v>3</v>
      </c>
      <c r="Z61" s="22">
        <v>4.5</v>
      </c>
      <c r="AA61" s="22">
        <v>1.5</v>
      </c>
      <c r="AB61" s="22" t="s">
        <v>1</v>
      </c>
      <c r="AC61" s="19" t="s">
        <v>8</v>
      </c>
      <c r="AD61" s="18" t="s">
        <v>9</v>
      </c>
      <c r="AE61" s="61" t="s">
        <v>9</v>
      </c>
      <c r="AF61" s="30" t="s">
        <v>9</v>
      </c>
    </row>
    <row r="62" spans="2:32">
      <c r="M62" s="29">
        <v>5.6</v>
      </c>
      <c r="N62" s="22">
        <v>2.9</v>
      </c>
      <c r="O62" s="22">
        <v>3.6</v>
      </c>
      <c r="P62" s="22">
        <v>1.3</v>
      </c>
      <c r="Q62" s="22" t="s">
        <v>1</v>
      </c>
      <c r="R62" s="19" t="s">
        <v>9</v>
      </c>
      <c r="S62" s="18" t="s">
        <v>8</v>
      </c>
      <c r="T62" s="61" t="s">
        <v>9</v>
      </c>
      <c r="U62" s="30" t="s">
        <v>9</v>
      </c>
      <c r="X62" s="31">
        <v>5.5</v>
      </c>
      <c r="Y62" s="18">
        <v>2.5</v>
      </c>
      <c r="Z62" s="18">
        <v>4</v>
      </c>
      <c r="AA62" s="18">
        <v>1.3</v>
      </c>
      <c r="AB62" s="18" t="s">
        <v>1</v>
      </c>
      <c r="AC62" s="19" t="s">
        <v>8</v>
      </c>
      <c r="AD62" s="18" t="s">
        <v>8</v>
      </c>
      <c r="AE62" s="61" t="s">
        <v>9</v>
      </c>
      <c r="AF62" s="30" t="s">
        <v>9</v>
      </c>
    </row>
    <row r="63" spans="2:32">
      <c r="M63" s="29">
        <v>5.6</v>
      </c>
      <c r="N63" s="22">
        <v>3</v>
      </c>
      <c r="O63" s="22">
        <v>4.5</v>
      </c>
      <c r="P63" s="22">
        <v>1.5</v>
      </c>
      <c r="Q63" s="22" t="s">
        <v>1</v>
      </c>
      <c r="R63" s="19" t="s">
        <v>9</v>
      </c>
      <c r="S63" s="18" t="s">
        <v>9</v>
      </c>
      <c r="T63" s="61" t="s">
        <v>9</v>
      </c>
      <c r="U63" s="30" t="s">
        <v>9</v>
      </c>
      <c r="X63" s="29">
        <v>5.5</v>
      </c>
      <c r="Y63" s="22">
        <v>2.6</v>
      </c>
      <c r="Z63" s="22">
        <v>4.4000000000000004</v>
      </c>
      <c r="AA63" s="22">
        <v>1.2</v>
      </c>
      <c r="AB63" s="22" t="s">
        <v>1</v>
      </c>
      <c r="AC63" s="19" t="s">
        <v>8</v>
      </c>
      <c r="AD63" s="18" t="s">
        <v>8</v>
      </c>
      <c r="AE63" s="61" t="s">
        <v>9</v>
      </c>
      <c r="AF63" s="30" t="s">
        <v>9</v>
      </c>
    </row>
    <row r="64" spans="2:32">
      <c r="M64" s="31">
        <v>5.8</v>
      </c>
      <c r="N64" s="18">
        <v>2.7</v>
      </c>
      <c r="O64" s="18">
        <v>4.0999999999999996</v>
      </c>
      <c r="P64" s="18">
        <v>1</v>
      </c>
      <c r="Q64" s="18" t="s">
        <v>1</v>
      </c>
      <c r="R64" s="19" t="s">
        <v>9</v>
      </c>
      <c r="S64" s="18" t="s">
        <v>8</v>
      </c>
      <c r="T64" s="61" t="s">
        <v>9</v>
      </c>
      <c r="U64" s="30" t="s">
        <v>9</v>
      </c>
      <c r="X64" s="31">
        <v>5</v>
      </c>
      <c r="Y64" s="18">
        <v>2.2999999999999998</v>
      </c>
      <c r="Z64" s="18">
        <v>3.3</v>
      </c>
      <c r="AA64" s="18">
        <v>1</v>
      </c>
      <c r="AB64" s="18" t="s">
        <v>1</v>
      </c>
      <c r="AC64" s="19" t="s">
        <v>8</v>
      </c>
      <c r="AD64" s="18" t="s">
        <v>8</v>
      </c>
      <c r="AE64" s="61" t="s">
        <v>9</v>
      </c>
      <c r="AF64" s="30" t="s">
        <v>9</v>
      </c>
    </row>
    <row r="65" spans="13:32">
      <c r="M65" s="29">
        <v>6.2</v>
      </c>
      <c r="N65" s="22">
        <v>2.2000000000000002</v>
      </c>
      <c r="O65" s="22">
        <v>4.5</v>
      </c>
      <c r="P65" s="22">
        <v>1.5</v>
      </c>
      <c r="Q65" s="22" t="s">
        <v>1</v>
      </c>
      <c r="R65" s="19" t="s">
        <v>9</v>
      </c>
      <c r="S65" s="18" t="s">
        <v>8</v>
      </c>
      <c r="T65" s="61" t="s">
        <v>9</v>
      </c>
      <c r="U65" s="30" t="s">
        <v>9</v>
      </c>
      <c r="X65" s="29">
        <v>5.0999999999999996</v>
      </c>
      <c r="Y65" s="22">
        <v>2.5</v>
      </c>
      <c r="Z65" s="22">
        <v>3</v>
      </c>
      <c r="AA65" s="22">
        <v>1.1000000000000001</v>
      </c>
      <c r="AB65" s="22" t="s">
        <v>1</v>
      </c>
      <c r="AC65" s="19" t="s">
        <v>8</v>
      </c>
      <c r="AD65" s="18" t="s">
        <v>8</v>
      </c>
      <c r="AE65" s="61" t="s">
        <v>9</v>
      </c>
      <c r="AF65" s="30" t="s">
        <v>9</v>
      </c>
    </row>
    <row r="66" spans="13:32">
      <c r="M66" s="31">
        <v>5.6</v>
      </c>
      <c r="N66" s="18">
        <v>2.5</v>
      </c>
      <c r="O66" s="18">
        <v>3.9</v>
      </c>
      <c r="P66" s="18">
        <v>1.1000000000000001</v>
      </c>
      <c r="Q66" s="18" t="s">
        <v>1</v>
      </c>
      <c r="R66" s="19" t="s">
        <v>9</v>
      </c>
      <c r="S66" s="18" t="s">
        <v>8</v>
      </c>
      <c r="T66" s="61" t="s">
        <v>9</v>
      </c>
      <c r="U66" s="30" t="s">
        <v>9</v>
      </c>
      <c r="X66" s="32">
        <v>4.9000000000000004</v>
      </c>
      <c r="Y66" s="33">
        <v>2.5</v>
      </c>
      <c r="Z66" s="33">
        <v>4.5</v>
      </c>
      <c r="AA66" s="33">
        <v>1.7</v>
      </c>
      <c r="AB66" s="33" t="s">
        <v>2</v>
      </c>
      <c r="AC66" s="35" t="s">
        <v>8</v>
      </c>
      <c r="AD66" s="47" t="s">
        <v>8</v>
      </c>
      <c r="AE66" s="63" t="s">
        <v>9</v>
      </c>
      <c r="AF66" s="37" t="s">
        <v>9</v>
      </c>
    </row>
    <row r="67" spans="13:32">
      <c r="M67" s="31">
        <v>6.1</v>
      </c>
      <c r="N67" s="18">
        <v>2.8</v>
      </c>
      <c r="O67" s="18">
        <v>4</v>
      </c>
      <c r="P67" s="18">
        <v>1.3</v>
      </c>
      <c r="Q67" s="18" t="s">
        <v>1</v>
      </c>
      <c r="R67" s="19" t="s">
        <v>9</v>
      </c>
      <c r="S67" s="18" t="s">
        <v>8</v>
      </c>
      <c r="T67" s="61" t="s">
        <v>9</v>
      </c>
      <c r="U67" s="30" t="s">
        <v>9</v>
      </c>
    </row>
    <row r="68" spans="13:32">
      <c r="M68" s="31">
        <v>6.1</v>
      </c>
      <c r="N68" s="18">
        <v>2.8</v>
      </c>
      <c r="O68" s="18">
        <v>4.7</v>
      </c>
      <c r="P68" s="18">
        <v>1.2</v>
      </c>
      <c r="Q68" s="18" t="s">
        <v>1</v>
      </c>
      <c r="R68" s="19" t="s">
        <v>9</v>
      </c>
      <c r="S68" s="18" t="s">
        <v>8</v>
      </c>
      <c r="T68" s="61" t="s">
        <v>9</v>
      </c>
      <c r="U68" s="30" t="s">
        <v>9</v>
      </c>
    </row>
    <row r="69" spans="13:32">
      <c r="M69" s="29">
        <v>6.4</v>
      </c>
      <c r="N69" s="22">
        <v>2.9</v>
      </c>
      <c r="O69" s="22">
        <v>4.3</v>
      </c>
      <c r="P69" s="22">
        <v>1.3</v>
      </c>
      <c r="Q69" s="22" t="s">
        <v>1</v>
      </c>
      <c r="R69" s="19" t="s">
        <v>9</v>
      </c>
      <c r="S69" s="18" t="s">
        <v>8</v>
      </c>
      <c r="T69" s="61" t="s">
        <v>9</v>
      </c>
      <c r="U69" s="30" t="s">
        <v>9</v>
      </c>
    </row>
    <row r="70" spans="13:32">
      <c r="M70" s="29">
        <v>6</v>
      </c>
      <c r="N70" s="22">
        <v>2.9</v>
      </c>
      <c r="O70" s="22">
        <v>4.5</v>
      </c>
      <c r="P70" s="22">
        <v>1.5</v>
      </c>
      <c r="Q70" s="22" t="s">
        <v>1</v>
      </c>
      <c r="R70" s="19" t="s">
        <v>9</v>
      </c>
      <c r="S70" s="18" t="s">
        <v>8</v>
      </c>
      <c r="T70" s="61" t="s">
        <v>9</v>
      </c>
      <c r="U70" s="30" t="s">
        <v>9</v>
      </c>
    </row>
    <row r="71" spans="13:32">
      <c r="M71" s="31">
        <v>5.7</v>
      </c>
      <c r="N71" s="18">
        <v>2.6</v>
      </c>
      <c r="O71" s="18">
        <v>3.5</v>
      </c>
      <c r="P71" s="18">
        <v>1</v>
      </c>
      <c r="Q71" s="18" t="s">
        <v>1</v>
      </c>
      <c r="R71" s="19" t="s">
        <v>9</v>
      </c>
      <c r="S71" s="18" t="s">
        <v>8</v>
      </c>
      <c r="T71" s="61" t="s">
        <v>9</v>
      </c>
      <c r="U71" s="30" t="s">
        <v>9</v>
      </c>
    </row>
    <row r="72" spans="13:32">
      <c r="M72" s="29">
        <v>5.8</v>
      </c>
      <c r="N72" s="22">
        <v>2.7</v>
      </c>
      <c r="O72" s="22">
        <v>3.9</v>
      </c>
      <c r="P72" s="22">
        <v>1.2</v>
      </c>
      <c r="Q72" s="22" t="s">
        <v>1</v>
      </c>
      <c r="R72" s="19" t="s">
        <v>9</v>
      </c>
      <c r="S72" s="18" t="s">
        <v>8</v>
      </c>
      <c r="T72" s="61" t="s">
        <v>9</v>
      </c>
      <c r="U72" s="30" t="s">
        <v>9</v>
      </c>
    </row>
    <row r="73" spans="13:32">
      <c r="M73" s="31">
        <v>6</v>
      </c>
      <c r="N73" s="18">
        <v>3.4</v>
      </c>
      <c r="O73" s="18">
        <v>4.5</v>
      </c>
      <c r="P73" s="18">
        <v>1.6</v>
      </c>
      <c r="Q73" s="18" t="s">
        <v>1</v>
      </c>
      <c r="R73" s="19" t="s">
        <v>9</v>
      </c>
      <c r="S73" s="18" t="s">
        <v>9</v>
      </c>
      <c r="T73" s="61" t="s">
        <v>9</v>
      </c>
      <c r="U73" s="30" t="s">
        <v>9</v>
      </c>
    </row>
    <row r="74" spans="13:32">
      <c r="M74" s="31">
        <v>6.3</v>
      </c>
      <c r="N74" s="18">
        <v>2.2999999999999998</v>
      </c>
      <c r="O74" s="18">
        <v>4.4000000000000004</v>
      </c>
      <c r="P74" s="18">
        <v>1.3</v>
      </c>
      <c r="Q74" s="18" t="s">
        <v>1</v>
      </c>
      <c r="R74" s="19" t="s">
        <v>9</v>
      </c>
      <c r="S74" s="18" t="s">
        <v>8</v>
      </c>
      <c r="T74" s="61" t="s">
        <v>9</v>
      </c>
      <c r="U74" s="30" t="s">
        <v>9</v>
      </c>
    </row>
    <row r="75" spans="13:32">
      <c r="M75" s="29">
        <v>5.6</v>
      </c>
      <c r="N75" s="22">
        <v>3</v>
      </c>
      <c r="O75" s="22">
        <v>4.0999999999999996</v>
      </c>
      <c r="P75" s="22">
        <v>1.3</v>
      </c>
      <c r="Q75" s="22" t="s">
        <v>1</v>
      </c>
      <c r="R75" s="19" t="s">
        <v>9</v>
      </c>
      <c r="S75" s="18" t="s">
        <v>9</v>
      </c>
      <c r="T75" s="61" t="s">
        <v>9</v>
      </c>
      <c r="U75" s="30" t="s">
        <v>9</v>
      </c>
    </row>
    <row r="76" spans="13:32">
      <c r="M76" s="31">
        <v>6.1</v>
      </c>
      <c r="N76" s="18">
        <v>3</v>
      </c>
      <c r="O76" s="18">
        <v>4.5999999999999996</v>
      </c>
      <c r="P76" s="18">
        <v>1.4</v>
      </c>
      <c r="Q76" s="18" t="s">
        <v>1</v>
      </c>
      <c r="R76" s="19" t="s">
        <v>9</v>
      </c>
      <c r="S76" s="18" t="s">
        <v>9</v>
      </c>
      <c r="T76" s="61" t="s">
        <v>9</v>
      </c>
      <c r="U76" s="30" t="s">
        <v>9</v>
      </c>
    </row>
    <row r="77" spans="13:32">
      <c r="M77" s="29">
        <v>5.8</v>
      </c>
      <c r="N77" s="22">
        <v>2.6</v>
      </c>
      <c r="O77" s="22">
        <v>4</v>
      </c>
      <c r="P77" s="22">
        <v>1.2</v>
      </c>
      <c r="Q77" s="22" t="s">
        <v>1</v>
      </c>
      <c r="R77" s="19" t="s">
        <v>9</v>
      </c>
      <c r="S77" s="18" t="s">
        <v>8</v>
      </c>
      <c r="T77" s="61" t="s">
        <v>9</v>
      </c>
      <c r="U77" s="30" t="s">
        <v>9</v>
      </c>
    </row>
    <row r="78" spans="13:32">
      <c r="M78" s="29">
        <v>5.6</v>
      </c>
      <c r="N78" s="22">
        <v>2.7</v>
      </c>
      <c r="O78" s="22">
        <v>4.2</v>
      </c>
      <c r="P78" s="22">
        <v>1.3</v>
      </c>
      <c r="Q78" s="22" t="s">
        <v>1</v>
      </c>
      <c r="R78" s="19" t="s">
        <v>9</v>
      </c>
      <c r="S78" s="18" t="s">
        <v>8</v>
      </c>
      <c r="T78" s="61" t="s">
        <v>9</v>
      </c>
      <c r="U78" s="30" t="s">
        <v>9</v>
      </c>
    </row>
    <row r="79" spans="13:32">
      <c r="M79" s="31">
        <v>5.7</v>
      </c>
      <c r="N79" s="18">
        <v>3</v>
      </c>
      <c r="O79" s="18">
        <v>4.2</v>
      </c>
      <c r="P79" s="18">
        <v>1.2</v>
      </c>
      <c r="Q79" s="18" t="s">
        <v>1</v>
      </c>
      <c r="R79" s="19" t="s">
        <v>9</v>
      </c>
      <c r="S79" s="18" t="s">
        <v>9</v>
      </c>
      <c r="T79" s="61" t="s">
        <v>9</v>
      </c>
      <c r="U79" s="30" t="s">
        <v>9</v>
      </c>
    </row>
    <row r="80" spans="13:32">
      <c r="M80" s="29">
        <v>5.7</v>
      </c>
      <c r="N80" s="22">
        <v>2.9</v>
      </c>
      <c r="O80" s="22">
        <v>4.2</v>
      </c>
      <c r="P80" s="22">
        <v>1.3</v>
      </c>
      <c r="Q80" s="22" t="s">
        <v>1</v>
      </c>
      <c r="R80" s="19" t="s">
        <v>9</v>
      </c>
      <c r="S80" s="18" t="s">
        <v>8</v>
      </c>
      <c r="T80" s="61" t="s">
        <v>9</v>
      </c>
      <c r="U80" s="30" t="s">
        <v>9</v>
      </c>
    </row>
    <row r="81" spans="13:21">
      <c r="M81" s="31">
        <v>6.2</v>
      </c>
      <c r="N81" s="18">
        <v>2.9</v>
      </c>
      <c r="O81" s="18">
        <v>4.3</v>
      </c>
      <c r="P81" s="18">
        <v>1.3</v>
      </c>
      <c r="Q81" s="18" t="s">
        <v>1</v>
      </c>
      <c r="R81" s="19" t="s">
        <v>9</v>
      </c>
      <c r="S81" s="18" t="s">
        <v>8</v>
      </c>
      <c r="T81" s="61" t="s">
        <v>9</v>
      </c>
      <c r="U81" s="30" t="s">
        <v>9</v>
      </c>
    </row>
    <row r="82" spans="13:21">
      <c r="M82" s="80">
        <v>5.7</v>
      </c>
      <c r="N82" s="47">
        <v>2.8</v>
      </c>
      <c r="O82" s="47">
        <v>4.0999999999999996</v>
      </c>
      <c r="P82" s="47">
        <v>1.3</v>
      </c>
      <c r="Q82" s="47" t="s">
        <v>1</v>
      </c>
      <c r="R82" s="35" t="s">
        <v>9</v>
      </c>
      <c r="S82" s="47" t="s">
        <v>8</v>
      </c>
      <c r="T82" s="63" t="s">
        <v>9</v>
      </c>
      <c r="U82" s="37" t="s">
        <v>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5BBC-2811-44C2-9686-E390BDCF1C75}">
  <dimension ref="B2:U87"/>
  <sheetViews>
    <sheetView workbookViewId="0">
      <selection activeCell="I52" sqref="I52"/>
    </sheetView>
  </sheetViews>
  <sheetFormatPr baseColWidth="10" defaultRowHeight="15"/>
  <cols>
    <col min="2" max="2" width="18.7109375" customWidth="1"/>
    <col min="3" max="3" width="17" customWidth="1"/>
    <col min="4" max="4" width="18.7109375" customWidth="1"/>
    <col min="5" max="5" width="16.85546875" customWidth="1"/>
    <col min="7" max="7" width="19.7109375" customWidth="1"/>
    <col min="8" max="8" width="18" customWidth="1"/>
    <col min="9" max="9" width="19.7109375" customWidth="1"/>
    <col min="10" max="10" width="17.85546875" customWidth="1"/>
    <col min="13" max="13" width="18.7109375" customWidth="1"/>
    <col min="14" max="14" width="17" customWidth="1"/>
    <col min="15" max="15" width="18.7109375" customWidth="1"/>
    <col min="16" max="16" width="16.85546875" customWidth="1"/>
    <col min="18" max="18" width="19.7109375" customWidth="1"/>
    <col min="19" max="19" width="18" customWidth="1"/>
    <col min="20" max="20" width="19.7109375" customWidth="1"/>
    <col min="21" max="21" width="17.85546875" customWidth="1"/>
    <col min="24" max="24" width="18.7109375" customWidth="1"/>
    <col min="25" max="25" width="17" customWidth="1"/>
    <col min="26" max="26" width="18.7109375" customWidth="1"/>
    <col min="27" max="27" width="16.85546875" customWidth="1"/>
    <col min="29" max="29" width="19.7109375" customWidth="1"/>
    <col min="30" max="30" width="18" customWidth="1"/>
    <col min="31" max="31" width="19.7109375" customWidth="1"/>
    <col min="32" max="32" width="17.85546875" customWidth="1"/>
  </cols>
  <sheetData>
    <row r="2" spans="2:13">
      <c r="B2" s="65" t="s">
        <v>28</v>
      </c>
      <c r="C2" s="66" t="s">
        <v>29</v>
      </c>
      <c r="D2" s="66" t="s">
        <v>30</v>
      </c>
      <c r="E2" s="66" t="s">
        <v>31</v>
      </c>
      <c r="F2" s="66" t="s">
        <v>24</v>
      </c>
      <c r="G2" s="66" t="s">
        <v>32</v>
      </c>
      <c r="H2" s="66" t="s">
        <v>33</v>
      </c>
      <c r="I2" s="66" t="s">
        <v>34</v>
      </c>
      <c r="J2" s="67" t="s">
        <v>35</v>
      </c>
      <c r="M2" s="11"/>
    </row>
    <row r="3" spans="2:13">
      <c r="B3" s="29">
        <v>7</v>
      </c>
      <c r="C3" s="22">
        <v>3.2</v>
      </c>
      <c r="D3" s="22">
        <v>4.7</v>
      </c>
      <c r="E3" s="22">
        <v>1.4</v>
      </c>
      <c r="F3" s="22" t="s">
        <v>1</v>
      </c>
      <c r="G3" s="18" t="s">
        <v>10</v>
      </c>
      <c r="H3" s="18" t="s">
        <v>9</v>
      </c>
      <c r="I3" s="20" t="s">
        <v>9</v>
      </c>
      <c r="J3" s="30" t="s">
        <v>9</v>
      </c>
    </row>
    <row r="4" spans="2:13">
      <c r="B4" s="31">
        <v>6.4</v>
      </c>
      <c r="C4" s="18">
        <v>3.2</v>
      </c>
      <c r="D4" s="18">
        <v>4.5</v>
      </c>
      <c r="E4" s="18">
        <v>1.5</v>
      </c>
      <c r="F4" s="18" t="s">
        <v>1</v>
      </c>
      <c r="G4" s="18" t="s">
        <v>9</v>
      </c>
      <c r="H4" s="18" t="s">
        <v>9</v>
      </c>
      <c r="I4" s="20" t="s">
        <v>9</v>
      </c>
      <c r="J4" s="30" t="s">
        <v>9</v>
      </c>
    </row>
    <row r="5" spans="2:13">
      <c r="B5" s="31">
        <v>5.5</v>
      </c>
      <c r="C5" s="18">
        <v>2.2999999999999998</v>
      </c>
      <c r="D5" s="18">
        <v>4</v>
      </c>
      <c r="E5" s="18">
        <v>1.3</v>
      </c>
      <c r="F5" s="18" t="s">
        <v>1</v>
      </c>
      <c r="G5" s="18" t="s">
        <v>8</v>
      </c>
      <c r="H5" s="18" t="s">
        <v>8</v>
      </c>
      <c r="I5" s="20" t="s">
        <v>9</v>
      </c>
      <c r="J5" s="30" t="s">
        <v>9</v>
      </c>
    </row>
    <row r="6" spans="2:13">
      <c r="B6" s="29">
        <v>6.5</v>
      </c>
      <c r="C6" s="22">
        <v>2.8</v>
      </c>
      <c r="D6" s="22">
        <v>4.5999999999999996</v>
      </c>
      <c r="E6" s="22">
        <v>1.5</v>
      </c>
      <c r="F6" s="22" t="s">
        <v>1</v>
      </c>
      <c r="G6" s="18" t="s">
        <v>9</v>
      </c>
      <c r="H6" s="18" t="s">
        <v>8</v>
      </c>
      <c r="I6" s="20" t="s">
        <v>9</v>
      </c>
      <c r="J6" s="30" t="s">
        <v>9</v>
      </c>
    </row>
    <row r="7" spans="2:13">
      <c r="B7" s="31">
        <v>5.7</v>
      </c>
      <c r="C7" s="18">
        <v>2.8</v>
      </c>
      <c r="D7" s="18">
        <v>4.5</v>
      </c>
      <c r="E7" s="18">
        <v>1.3</v>
      </c>
      <c r="F7" s="18" t="s">
        <v>1</v>
      </c>
      <c r="G7" s="18" t="s">
        <v>9</v>
      </c>
      <c r="H7" s="18" t="s">
        <v>8</v>
      </c>
      <c r="I7" s="20" t="s">
        <v>9</v>
      </c>
      <c r="J7" s="30" t="s">
        <v>9</v>
      </c>
    </row>
    <row r="8" spans="2:13">
      <c r="B8" s="29">
        <v>6.3</v>
      </c>
      <c r="C8" s="22">
        <v>3.3</v>
      </c>
      <c r="D8" s="22">
        <v>4.7</v>
      </c>
      <c r="E8" s="22">
        <v>1.6</v>
      </c>
      <c r="F8" s="22" t="s">
        <v>1</v>
      </c>
      <c r="G8" s="18" t="s">
        <v>9</v>
      </c>
      <c r="H8" s="18" t="s">
        <v>9</v>
      </c>
      <c r="I8" s="20" t="s">
        <v>9</v>
      </c>
      <c r="J8" s="30" t="s">
        <v>9</v>
      </c>
    </row>
    <row r="9" spans="2:13">
      <c r="B9" s="31">
        <v>4.9000000000000004</v>
      </c>
      <c r="C9" s="18">
        <v>2.4</v>
      </c>
      <c r="D9" s="18">
        <v>3.3</v>
      </c>
      <c r="E9" s="18">
        <v>1</v>
      </c>
      <c r="F9" s="18" t="s">
        <v>1</v>
      </c>
      <c r="G9" s="18" t="s">
        <v>8</v>
      </c>
      <c r="H9" s="18" t="s">
        <v>8</v>
      </c>
      <c r="I9" s="20" t="s">
        <v>9</v>
      </c>
      <c r="J9" s="30" t="s">
        <v>9</v>
      </c>
    </row>
    <row r="10" spans="2:13">
      <c r="B10" s="29">
        <v>6.6</v>
      </c>
      <c r="C10" s="22">
        <v>2.9</v>
      </c>
      <c r="D10" s="22">
        <v>4.5999999999999996</v>
      </c>
      <c r="E10" s="22">
        <v>1.3</v>
      </c>
      <c r="F10" s="22" t="s">
        <v>1</v>
      </c>
      <c r="G10" s="18" t="s">
        <v>10</v>
      </c>
      <c r="H10" s="18" t="s">
        <v>8</v>
      </c>
      <c r="I10" s="20" t="s">
        <v>9</v>
      </c>
      <c r="J10" s="30" t="s">
        <v>9</v>
      </c>
    </row>
    <row r="11" spans="2:13">
      <c r="B11" s="31">
        <v>5.2</v>
      </c>
      <c r="C11" s="18">
        <v>2.7</v>
      </c>
      <c r="D11" s="18">
        <v>3.9</v>
      </c>
      <c r="E11" s="18">
        <v>1.4</v>
      </c>
      <c r="F11" s="18" t="s">
        <v>1</v>
      </c>
      <c r="G11" s="18" t="s">
        <v>8</v>
      </c>
      <c r="H11" s="18" t="s">
        <v>8</v>
      </c>
      <c r="I11" s="20" t="s">
        <v>9</v>
      </c>
      <c r="J11" s="30" t="s">
        <v>9</v>
      </c>
    </row>
    <row r="12" spans="2:13">
      <c r="B12" s="29">
        <v>5</v>
      </c>
      <c r="C12" s="22">
        <v>2</v>
      </c>
      <c r="D12" s="22">
        <v>3.5</v>
      </c>
      <c r="E12" s="22">
        <v>1</v>
      </c>
      <c r="F12" s="22" t="s">
        <v>1</v>
      </c>
      <c r="G12" s="18" t="s">
        <v>8</v>
      </c>
      <c r="H12" s="18" t="s">
        <v>8</v>
      </c>
      <c r="I12" s="20" t="s">
        <v>9</v>
      </c>
      <c r="J12" s="30" t="s">
        <v>9</v>
      </c>
    </row>
    <row r="13" spans="2:13">
      <c r="B13" s="31">
        <v>5.9</v>
      </c>
      <c r="C13" s="18">
        <v>3</v>
      </c>
      <c r="D13" s="18">
        <v>4.2</v>
      </c>
      <c r="E13" s="18">
        <v>1.5</v>
      </c>
      <c r="F13" s="18" t="s">
        <v>1</v>
      </c>
      <c r="G13" s="18" t="s">
        <v>9</v>
      </c>
      <c r="H13" s="18" t="s">
        <v>9</v>
      </c>
      <c r="I13" s="20" t="s">
        <v>9</v>
      </c>
      <c r="J13" s="30" t="s">
        <v>9</v>
      </c>
    </row>
    <row r="14" spans="2:13">
      <c r="B14" s="29">
        <v>6</v>
      </c>
      <c r="C14" s="22">
        <v>2.2000000000000002</v>
      </c>
      <c r="D14" s="22">
        <v>4</v>
      </c>
      <c r="E14" s="22">
        <v>1</v>
      </c>
      <c r="F14" s="22" t="s">
        <v>1</v>
      </c>
      <c r="G14" s="18" t="s">
        <v>9</v>
      </c>
      <c r="H14" s="18" t="s">
        <v>8</v>
      </c>
      <c r="I14" s="20" t="s">
        <v>9</v>
      </c>
      <c r="J14" s="30" t="s">
        <v>9</v>
      </c>
    </row>
    <row r="15" spans="2:13">
      <c r="B15" s="31">
        <v>6.1</v>
      </c>
      <c r="C15" s="18">
        <v>2.9</v>
      </c>
      <c r="D15" s="18">
        <v>4.7</v>
      </c>
      <c r="E15" s="18">
        <v>1.4</v>
      </c>
      <c r="F15" s="18" t="s">
        <v>1</v>
      </c>
      <c r="G15" s="18" t="s">
        <v>9</v>
      </c>
      <c r="H15" s="18" t="s">
        <v>8</v>
      </c>
      <c r="I15" s="20" t="s">
        <v>9</v>
      </c>
      <c r="J15" s="30" t="s">
        <v>9</v>
      </c>
    </row>
    <row r="16" spans="2:13">
      <c r="B16" s="29">
        <v>5.6</v>
      </c>
      <c r="C16" s="22">
        <v>2.9</v>
      </c>
      <c r="D16" s="22">
        <v>3.6</v>
      </c>
      <c r="E16" s="22">
        <v>1.3</v>
      </c>
      <c r="F16" s="22" t="s">
        <v>1</v>
      </c>
      <c r="G16" s="18" t="s">
        <v>9</v>
      </c>
      <c r="H16" s="18" t="s">
        <v>8</v>
      </c>
      <c r="I16" s="20" t="s">
        <v>9</v>
      </c>
      <c r="J16" s="30" t="s">
        <v>9</v>
      </c>
    </row>
    <row r="17" spans="2:10">
      <c r="B17" s="31">
        <v>6.7</v>
      </c>
      <c r="C17" s="18">
        <v>3.1</v>
      </c>
      <c r="D17" s="18">
        <v>4.4000000000000004</v>
      </c>
      <c r="E17" s="18">
        <v>1.4</v>
      </c>
      <c r="F17" s="18" t="s">
        <v>1</v>
      </c>
      <c r="G17" s="18" t="s">
        <v>10</v>
      </c>
      <c r="H17" s="18" t="s">
        <v>9</v>
      </c>
      <c r="I17" s="20" t="s">
        <v>9</v>
      </c>
      <c r="J17" s="30" t="s">
        <v>9</v>
      </c>
    </row>
    <row r="18" spans="2:10">
      <c r="B18" s="29">
        <v>5.6</v>
      </c>
      <c r="C18" s="22">
        <v>3</v>
      </c>
      <c r="D18" s="22">
        <v>4.5</v>
      </c>
      <c r="E18" s="22">
        <v>1.5</v>
      </c>
      <c r="F18" s="22" t="s">
        <v>1</v>
      </c>
      <c r="G18" s="18" t="s">
        <v>9</v>
      </c>
      <c r="H18" s="18" t="s">
        <v>9</v>
      </c>
      <c r="I18" s="20" t="s">
        <v>9</v>
      </c>
      <c r="J18" s="30" t="s">
        <v>9</v>
      </c>
    </row>
    <row r="19" spans="2:10">
      <c r="B19" s="31">
        <v>5.8</v>
      </c>
      <c r="C19" s="18">
        <v>2.7</v>
      </c>
      <c r="D19" s="18">
        <v>4.0999999999999996</v>
      </c>
      <c r="E19" s="18">
        <v>1</v>
      </c>
      <c r="F19" s="18" t="s">
        <v>1</v>
      </c>
      <c r="G19" s="18" t="s">
        <v>9</v>
      </c>
      <c r="H19" s="18" t="s">
        <v>8</v>
      </c>
      <c r="I19" s="20" t="s">
        <v>9</v>
      </c>
      <c r="J19" s="30" t="s">
        <v>9</v>
      </c>
    </row>
    <row r="20" spans="2:10">
      <c r="B20" s="29">
        <v>6.2</v>
      </c>
      <c r="C20" s="22">
        <v>2.2000000000000002</v>
      </c>
      <c r="D20" s="22">
        <v>4.5</v>
      </c>
      <c r="E20" s="22">
        <v>1.5</v>
      </c>
      <c r="F20" s="22" t="s">
        <v>1</v>
      </c>
      <c r="G20" s="18" t="s">
        <v>9</v>
      </c>
      <c r="H20" s="18" t="s">
        <v>8</v>
      </c>
      <c r="I20" s="20" t="s">
        <v>9</v>
      </c>
      <c r="J20" s="30" t="s">
        <v>9</v>
      </c>
    </row>
    <row r="21" spans="2:10">
      <c r="B21" s="31">
        <v>5.6</v>
      </c>
      <c r="C21" s="18">
        <v>2.5</v>
      </c>
      <c r="D21" s="18">
        <v>3.9</v>
      </c>
      <c r="E21" s="18">
        <v>1.1000000000000001</v>
      </c>
      <c r="F21" s="18" t="s">
        <v>1</v>
      </c>
      <c r="G21" s="18" t="s">
        <v>9</v>
      </c>
      <c r="H21" s="18" t="s">
        <v>8</v>
      </c>
      <c r="I21" s="20" t="s">
        <v>9</v>
      </c>
      <c r="J21" s="30" t="s">
        <v>9</v>
      </c>
    </row>
    <row r="22" spans="2:10">
      <c r="B22" s="31">
        <v>6.1</v>
      </c>
      <c r="C22" s="18">
        <v>2.8</v>
      </c>
      <c r="D22" s="18">
        <v>4</v>
      </c>
      <c r="E22" s="18">
        <v>1.3</v>
      </c>
      <c r="F22" s="18" t="s">
        <v>1</v>
      </c>
      <c r="G22" s="18" t="s">
        <v>9</v>
      </c>
      <c r="H22" s="18" t="s">
        <v>8</v>
      </c>
      <c r="I22" s="20" t="s">
        <v>9</v>
      </c>
      <c r="J22" s="30" t="s">
        <v>9</v>
      </c>
    </row>
    <row r="23" spans="2:10">
      <c r="B23" s="31">
        <v>6.1</v>
      </c>
      <c r="C23" s="18">
        <v>2.8</v>
      </c>
      <c r="D23" s="18">
        <v>4.7</v>
      </c>
      <c r="E23" s="18">
        <v>1.2</v>
      </c>
      <c r="F23" s="18" t="s">
        <v>1</v>
      </c>
      <c r="G23" s="18" t="s">
        <v>9</v>
      </c>
      <c r="H23" s="18" t="s">
        <v>8</v>
      </c>
      <c r="I23" s="20" t="s">
        <v>9</v>
      </c>
      <c r="J23" s="30" t="s">
        <v>9</v>
      </c>
    </row>
    <row r="24" spans="2:10">
      <c r="B24" s="29">
        <v>6.4</v>
      </c>
      <c r="C24" s="22">
        <v>2.9</v>
      </c>
      <c r="D24" s="22">
        <v>4.3</v>
      </c>
      <c r="E24" s="22">
        <v>1.3</v>
      </c>
      <c r="F24" s="22" t="s">
        <v>1</v>
      </c>
      <c r="G24" s="18" t="s">
        <v>9</v>
      </c>
      <c r="H24" s="18" t="s">
        <v>8</v>
      </c>
      <c r="I24" s="20" t="s">
        <v>9</v>
      </c>
      <c r="J24" s="30" t="s">
        <v>9</v>
      </c>
    </row>
    <row r="25" spans="2:10">
      <c r="B25" s="31">
        <v>6.6</v>
      </c>
      <c r="C25" s="18">
        <v>3</v>
      </c>
      <c r="D25" s="18">
        <v>4.4000000000000004</v>
      </c>
      <c r="E25" s="18">
        <v>1.4</v>
      </c>
      <c r="F25" s="18" t="s">
        <v>1</v>
      </c>
      <c r="G25" s="18" t="s">
        <v>10</v>
      </c>
      <c r="H25" s="18" t="s">
        <v>9</v>
      </c>
      <c r="I25" s="20" t="s">
        <v>9</v>
      </c>
      <c r="J25" s="30" t="s">
        <v>9</v>
      </c>
    </row>
    <row r="26" spans="2:10">
      <c r="B26" s="29">
        <v>6.8</v>
      </c>
      <c r="C26" s="22">
        <v>2.8</v>
      </c>
      <c r="D26" s="22">
        <v>4.8</v>
      </c>
      <c r="E26" s="22">
        <v>1.4</v>
      </c>
      <c r="F26" s="22" t="s">
        <v>1</v>
      </c>
      <c r="G26" s="18" t="s">
        <v>10</v>
      </c>
      <c r="H26" s="18" t="s">
        <v>8</v>
      </c>
      <c r="I26" s="20" t="s">
        <v>9</v>
      </c>
      <c r="J26" s="30" t="s">
        <v>9</v>
      </c>
    </row>
    <row r="27" spans="2:10">
      <c r="B27" s="29">
        <v>6</v>
      </c>
      <c r="C27" s="22">
        <v>2.9</v>
      </c>
      <c r="D27" s="22">
        <v>4.5</v>
      </c>
      <c r="E27" s="22">
        <v>1.5</v>
      </c>
      <c r="F27" s="22" t="s">
        <v>1</v>
      </c>
      <c r="G27" s="18" t="s">
        <v>9</v>
      </c>
      <c r="H27" s="18" t="s">
        <v>8</v>
      </c>
      <c r="I27" s="20" t="s">
        <v>9</v>
      </c>
      <c r="J27" s="30" t="s">
        <v>9</v>
      </c>
    </row>
    <row r="28" spans="2:10">
      <c r="B28" s="31">
        <v>5.7</v>
      </c>
      <c r="C28" s="18">
        <v>2.6</v>
      </c>
      <c r="D28" s="18">
        <v>3.5</v>
      </c>
      <c r="E28" s="18">
        <v>1</v>
      </c>
      <c r="F28" s="18" t="s">
        <v>1</v>
      </c>
      <c r="G28" s="18" t="s">
        <v>9</v>
      </c>
      <c r="H28" s="18" t="s">
        <v>8</v>
      </c>
      <c r="I28" s="20" t="s">
        <v>9</v>
      </c>
      <c r="J28" s="30" t="s">
        <v>9</v>
      </c>
    </row>
    <row r="29" spans="2:10">
      <c r="B29" s="29">
        <v>5.5</v>
      </c>
      <c r="C29" s="22">
        <v>2.4</v>
      </c>
      <c r="D29" s="22">
        <v>3.8</v>
      </c>
      <c r="E29" s="22">
        <v>1.1000000000000001</v>
      </c>
      <c r="F29" s="22" t="s">
        <v>1</v>
      </c>
      <c r="G29" s="18" t="s">
        <v>8</v>
      </c>
      <c r="H29" s="18" t="s">
        <v>8</v>
      </c>
      <c r="I29" s="20" t="s">
        <v>9</v>
      </c>
      <c r="J29" s="30" t="s">
        <v>9</v>
      </c>
    </row>
    <row r="30" spans="2:10">
      <c r="B30" s="31">
        <v>5.5</v>
      </c>
      <c r="C30" s="18">
        <v>2.4</v>
      </c>
      <c r="D30" s="18">
        <v>3.7</v>
      </c>
      <c r="E30" s="18">
        <v>1</v>
      </c>
      <c r="F30" s="18" t="s">
        <v>1</v>
      </c>
      <c r="G30" s="18" t="s">
        <v>8</v>
      </c>
      <c r="H30" s="18" t="s">
        <v>8</v>
      </c>
      <c r="I30" s="20" t="s">
        <v>9</v>
      </c>
      <c r="J30" s="30" t="s">
        <v>9</v>
      </c>
    </row>
    <row r="31" spans="2:10">
      <c r="B31" s="29">
        <v>5.8</v>
      </c>
      <c r="C31" s="22">
        <v>2.7</v>
      </c>
      <c r="D31" s="22">
        <v>3.9</v>
      </c>
      <c r="E31" s="22">
        <v>1.2</v>
      </c>
      <c r="F31" s="22" t="s">
        <v>1</v>
      </c>
      <c r="G31" s="18" t="s">
        <v>9</v>
      </c>
      <c r="H31" s="18" t="s">
        <v>8</v>
      </c>
      <c r="I31" s="20" t="s">
        <v>9</v>
      </c>
      <c r="J31" s="30" t="s">
        <v>9</v>
      </c>
    </row>
    <row r="32" spans="2:10">
      <c r="B32" s="29">
        <v>5.4</v>
      </c>
      <c r="C32" s="22">
        <v>3</v>
      </c>
      <c r="D32" s="22">
        <v>4.5</v>
      </c>
      <c r="E32" s="22">
        <v>1.5</v>
      </c>
      <c r="F32" s="22" t="s">
        <v>1</v>
      </c>
      <c r="G32" s="18" t="s">
        <v>8</v>
      </c>
      <c r="H32" s="18" t="s">
        <v>9</v>
      </c>
      <c r="I32" s="20" t="s">
        <v>9</v>
      </c>
      <c r="J32" s="30" t="s">
        <v>9</v>
      </c>
    </row>
    <row r="33" spans="2:10">
      <c r="B33" s="31">
        <v>6</v>
      </c>
      <c r="C33" s="18">
        <v>3.4</v>
      </c>
      <c r="D33" s="18">
        <v>4.5</v>
      </c>
      <c r="E33" s="18">
        <v>1.6</v>
      </c>
      <c r="F33" s="18" t="s">
        <v>1</v>
      </c>
      <c r="G33" s="18" t="s">
        <v>9</v>
      </c>
      <c r="H33" s="18" t="s">
        <v>9</v>
      </c>
      <c r="I33" s="20" t="s">
        <v>9</v>
      </c>
      <c r="J33" s="30" t="s">
        <v>9</v>
      </c>
    </row>
    <row r="34" spans="2:10">
      <c r="B34" s="29">
        <v>6.7</v>
      </c>
      <c r="C34" s="22">
        <v>3.1</v>
      </c>
      <c r="D34" s="22">
        <v>4.7</v>
      </c>
      <c r="E34" s="22">
        <v>1.5</v>
      </c>
      <c r="F34" s="22" t="s">
        <v>1</v>
      </c>
      <c r="G34" s="18" t="s">
        <v>10</v>
      </c>
      <c r="H34" s="18" t="s">
        <v>9</v>
      </c>
      <c r="I34" s="20" t="s">
        <v>9</v>
      </c>
      <c r="J34" s="30" t="s">
        <v>9</v>
      </c>
    </row>
    <row r="35" spans="2:10">
      <c r="B35" s="31">
        <v>6.3</v>
      </c>
      <c r="C35" s="18">
        <v>2.2999999999999998</v>
      </c>
      <c r="D35" s="18">
        <v>4.4000000000000004</v>
      </c>
      <c r="E35" s="18">
        <v>1.3</v>
      </c>
      <c r="F35" s="18" t="s">
        <v>1</v>
      </c>
      <c r="G35" s="18" t="s">
        <v>9</v>
      </c>
      <c r="H35" s="18" t="s">
        <v>8</v>
      </c>
      <c r="I35" s="20" t="s">
        <v>9</v>
      </c>
      <c r="J35" s="30" t="s">
        <v>9</v>
      </c>
    </row>
    <row r="36" spans="2:10">
      <c r="B36" s="29">
        <v>5.6</v>
      </c>
      <c r="C36" s="22">
        <v>3</v>
      </c>
      <c r="D36" s="22">
        <v>4.0999999999999996</v>
      </c>
      <c r="E36" s="22">
        <v>1.3</v>
      </c>
      <c r="F36" s="22" t="s">
        <v>1</v>
      </c>
      <c r="G36" s="18" t="s">
        <v>9</v>
      </c>
      <c r="H36" s="18" t="s">
        <v>9</v>
      </c>
      <c r="I36" s="20" t="s">
        <v>9</v>
      </c>
      <c r="J36" s="30" t="s">
        <v>9</v>
      </c>
    </row>
    <row r="37" spans="2:10">
      <c r="B37" s="31">
        <v>5.5</v>
      </c>
      <c r="C37" s="18">
        <v>2.5</v>
      </c>
      <c r="D37" s="18">
        <v>4</v>
      </c>
      <c r="E37" s="18">
        <v>1.3</v>
      </c>
      <c r="F37" s="18" t="s">
        <v>1</v>
      </c>
      <c r="G37" s="18" t="s">
        <v>8</v>
      </c>
      <c r="H37" s="18" t="s">
        <v>8</v>
      </c>
      <c r="I37" s="20" t="s">
        <v>9</v>
      </c>
      <c r="J37" s="30" t="s">
        <v>9</v>
      </c>
    </row>
    <row r="38" spans="2:10">
      <c r="B38" s="29">
        <v>5.5</v>
      </c>
      <c r="C38" s="22">
        <v>2.6</v>
      </c>
      <c r="D38" s="22">
        <v>4.4000000000000004</v>
      </c>
      <c r="E38" s="22">
        <v>1.2</v>
      </c>
      <c r="F38" s="22" t="s">
        <v>1</v>
      </c>
      <c r="G38" s="18" t="s">
        <v>8</v>
      </c>
      <c r="H38" s="18" t="s">
        <v>8</v>
      </c>
      <c r="I38" s="20" t="s">
        <v>9</v>
      </c>
      <c r="J38" s="30" t="s">
        <v>9</v>
      </c>
    </row>
    <row r="39" spans="2:10">
      <c r="B39" s="31">
        <v>6.1</v>
      </c>
      <c r="C39" s="18">
        <v>3</v>
      </c>
      <c r="D39" s="18">
        <v>4.5999999999999996</v>
      </c>
      <c r="E39" s="18">
        <v>1.4</v>
      </c>
      <c r="F39" s="18" t="s">
        <v>1</v>
      </c>
      <c r="G39" s="18" t="s">
        <v>9</v>
      </c>
      <c r="H39" s="18" t="s">
        <v>9</v>
      </c>
      <c r="I39" s="20" t="s">
        <v>9</v>
      </c>
      <c r="J39" s="30" t="s">
        <v>9</v>
      </c>
    </row>
    <row r="40" spans="2:10">
      <c r="B40" s="29">
        <v>5.8</v>
      </c>
      <c r="C40" s="22">
        <v>2.6</v>
      </c>
      <c r="D40" s="22">
        <v>4</v>
      </c>
      <c r="E40" s="22">
        <v>1.2</v>
      </c>
      <c r="F40" s="22" t="s">
        <v>1</v>
      </c>
      <c r="G40" s="18" t="s">
        <v>9</v>
      </c>
      <c r="H40" s="18" t="s">
        <v>8</v>
      </c>
      <c r="I40" s="20" t="s">
        <v>9</v>
      </c>
      <c r="J40" s="30" t="s">
        <v>9</v>
      </c>
    </row>
    <row r="41" spans="2:10">
      <c r="B41" s="31">
        <v>5</v>
      </c>
      <c r="C41" s="18">
        <v>2.2999999999999998</v>
      </c>
      <c r="D41" s="18">
        <v>3.3</v>
      </c>
      <c r="E41" s="18">
        <v>1</v>
      </c>
      <c r="F41" s="18" t="s">
        <v>1</v>
      </c>
      <c r="G41" s="18" t="s">
        <v>8</v>
      </c>
      <c r="H41" s="18" t="s">
        <v>8</v>
      </c>
      <c r="I41" s="20" t="s">
        <v>9</v>
      </c>
      <c r="J41" s="30" t="s">
        <v>9</v>
      </c>
    </row>
    <row r="42" spans="2:10">
      <c r="B42" s="29">
        <v>5.6</v>
      </c>
      <c r="C42" s="22">
        <v>2.7</v>
      </c>
      <c r="D42" s="22">
        <v>4.2</v>
      </c>
      <c r="E42" s="22">
        <v>1.3</v>
      </c>
      <c r="F42" s="22" t="s">
        <v>1</v>
      </c>
      <c r="G42" s="18" t="s">
        <v>9</v>
      </c>
      <c r="H42" s="18" t="s">
        <v>8</v>
      </c>
      <c r="I42" s="20" t="s">
        <v>9</v>
      </c>
      <c r="J42" s="30" t="s">
        <v>9</v>
      </c>
    </row>
    <row r="43" spans="2:10">
      <c r="B43" s="31">
        <v>5.7</v>
      </c>
      <c r="C43" s="18">
        <v>3</v>
      </c>
      <c r="D43" s="18">
        <v>4.2</v>
      </c>
      <c r="E43" s="18">
        <v>1.2</v>
      </c>
      <c r="F43" s="18" t="s">
        <v>1</v>
      </c>
      <c r="G43" s="18" t="s">
        <v>9</v>
      </c>
      <c r="H43" s="18" t="s">
        <v>9</v>
      </c>
      <c r="I43" s="20" t="s">
        <v>9</v>
      </c>
      <c r="J43" s="30" t="s">
        <v>9</v>
      </c>
    </row>
    <row r="44" spans="2:10">
      <c r="B44" s="29">
        <v>5.7</v>
      </c>
      <c r="C44" s="22">
        <v>2.9</v>
      </c>
      <c r="D44" s="22">
        <v>4.2</v>
      </c>
      <c r="E44" s="22">
        <v>1.3</v>
      </c>
      <c r="F44" s="22" t="s">
        <v>1</v>
      </c>
      <c r="G44" s="18" t="s">
        <v>9</v>
      </c>
      <c r="H44" s="18" t="s">
        <v>8</v>
      </c>
      <c r="I44" s="20" t="s">
        <v>9</v>
      </c>
      <c r="J44" s="30" t="s">
        <v>9</v>
      </c>
    </row>
    <row r="45" spans="2:10">
      <c r="B45" s="31">
        <v>6.2</v>
      </c>
      <c r="C45" s="18">
        <v>2.9</v>
      </c>
      <c r="D45" s="18">
        <v>4.3</v>
      </c>
      <c r="E45" s="18">
        <v>1.3</v>
      </c>
      <c r="F45" s="18" t="s">
        <v>1</v>
      </c>
      <c r="G45" s="18" t="s">
        <v>9</v>
      </c>
      <c r="H45" s="18" t="s">
        <v>8</v>
      </c>
      <c r="I45" s="20" t="s">
        <v>9</v>
      </c>
      <c r="J45" s="30" t="s">
        <v>9</v>
      </c>
    </row>
    <row r="46" spans="2:10">
      <c r="B46" s="29">
        <v>5.0999999999999996</v>
      </c>
      <c r="C46" s="22">
        <v>2.5</v>
      </c>
      <c r="D46" s="22">
        <v>3</v>
      </c>
      <c r="E46" s="22">
        <v>1.1000000000000001</v>
      </c>
      <c r="F46" s="22" t="s">
        <v>1</v>
      </c>
      <c r="G46" s="18" t="s">
        <v>8</v>
      </c>
      <c r="H46" s="18" t="s">
        <v>8</v>
      </c>
      <c r="I46" s="20" t="s">
        <v>9</v>
      </c>
      <c r="J46" s="30" t="s">
        <v>9</v>
      </c>
    </row>
    <row r="47" spans="2:10">
      <c r="B47" s="31">
        <v>5.7</v>
      </c>
      <c r="C47" s="18">
        <v>2.8</v>
      </c>
      <c r="D47" s="18">
        <v>4.0999999999999996</v>
      </c>
      <c r="E47" s="18">
        <v>1.3</v>
      </c>
      <c r="F47" s="18" t="s">
        <v>1</v>
      </c>
      <c r="G47" s="18" t="s">
        <v>9</v>
      </c>
      <c r="H47" s="18" t="s">
        <v>8</v>
      </c>
      <c r="I47" s="20" t="s">
        <v>9</v>
      </c>
      <c r="J47" s="30" t="s">
        <v>9</v>
      </c>
    </row>
    <row r="48" spans="2:10">
      <c r="B48" s="32">
        <v>4.9000000000000004</v>
      </c>
      <c r="C48" s="33">
        <v>2.5</v>
      </c>
      <c r="D48" s="33">
        <v>4.5</v>
      </c>
      <c r="E48" s="33">
        <v>1.7</v>
      </c>
      <c r="F48" s="33" t="s">
        <v>2</v>
      </c>
      <c r="G48" s="47" t="s">
        <v>8</v>
      </c>
      <c r="H48" s="47" t="s">
        <v>8</v>
      </c>
      <c r="I48" s="36" t="s">
        <v>9</v>
      </c>
      <c r="J48" s="37" t="s">
        <v>9</v>
      </c>
    </row>
    <row r="51" spans="2:21">
      <c r="D51" s="14" t="s">
        <v>15</v>
      </c>
      <c r="E51" s="12">
        <v>0.151</v>
      </c>
      <c r="G51" s="15" t="s">
        <v>19</v>
      </c>
      <c r="H51" s="13">
        <v>1.11E-2</v>
      </c>
    </row>
    <row r="53" spans="2:21">
      <c r="M53" s="24" t="s">
        <v>18</v>
      </c>
      <c r="N53" s="25">
        <v>0.19500000000000001</v>
      </c>
    </row>
    <row r="54" spans="2:21">
      <c r="B54" s="24" t="s">
        <v>17</v>
      </c>
      <c r="C54" s="25">
        <v>0</v>
      </c>
      <c r="M54" s="79" t="s">
        <v>28</v>
      </c>
      <c r="N54" s="79" t="s">
        <v>29</v>
      </c>
      <c r="O54" s="79" t="s">
        <v>30</v>
      </c>
      <c r="P54" s="79" t="s">
        <v>31</v>
      </c>
      <c r="Q54" s="79" t="s">
        <v>24</v>
      </c>
      <c r="R54" s="79" t="s">
        <v>32</v>
      </c>
      <c r="S54" s="79" t="s">
        <v>33</v>
      </c>
      <c r="T54" s="79" t="s">
        <v>34</v>
      </c>
      <c r="U54" s="79" t="s">
        <v>35</v>
      </c>
    </row>
    <row r="55" spans="2:21">
      <c r="B55" s="26" t="s">
        <v>28</v>
      </c>
      <c r="C55" s="27" t="s">
        <v>29</v>
      </c>
      <c r="D55" s="27" t="s">
        <v>30</v>
      </c>
      <c r="E55" s="27" t="s">
        <v>31</v>
      </c>
      <c r="F55" s="27" t="s">
        <v>24</v>
      </c>
      <c r="G55" s="27" t="s">
        <v>32</v>
      </c>
      <c r="H55" s="27" t="s">
        <v>33</v>
      </c>
      <c r="I55" s="27" t="s">
        <v>34</v>
      </c>
      <c r="J55" s="28" t="s">
        <v>35</v>
      </c>
      <c r="M55" s="18">
        <v>5.5</v>
      </c>
      <c r="N55" s="18">
        <v>2.2999999999999998</v>
      </c>
      <c r="O55" s="18">
        <v>4</v>
      </c>
      <c r="P55" s="18">
        <v>1.3</v>
      </c>
      <c r="Q55" s="18" t="s">
        <v>1</v>
      </c>
      <c r="R55" s="18" t="s">
        <v>8</v>
      </c>
      <c r="S55" s="19" t="s">
        <v>8</v>
      </c>
      <c r="T55" s="20" t="s">
        <v>9</v>
      </c>
      <c r="U55" s="21" t="s">
        <v>9</v>
      </c>
    </row>
    <row r="56" spans="2:21">
      <c r="B56" s="29">
        <v>7</v>
      </c>
      <c r="C56" s="22">
        <v>3.2</v>
      </c>
      <c r="D56" s="22">
        <v>4.7</v>
      </c>
      <c r="E56" s="22">
        <v>1.4</v>
      </c>
      <c r="F56" s="22" t="s">
        <v>1</v>
      </c>
      <c r="G56" s="18" t="s">
        <v>10</v>
      </c>
      <c r="H56" s="19" t="s">
        <v>9</v>
      </c>
      <c r="I56" s="20" t="s">
        <v>9</v>
      </c>
      <c r="J56" s="30" t="s">
        <v>9</v>
      </c>
      <c r="M56" s="22">
        <v>6.5</v>
      </c>
      <c r="N56" s="22">
        <v>2.8</v>
      </c>
      <c r="O56" s="22">
        <v>4.5999999999999996</v>
      </c>
      <c r="P56" s="22">
        <v>1.5</v>
      </c>
      <c r="Q56" s="22" t="s">
        <v>1</v>
      </c>
      <c r="R56" s="18" t="s">
        <v>9</v>
      </c>
      <c r="S56" s="19" t="s">
        <v>8</v>
      </c>
      <c r="T56" s="20" t="s">
        <v>9</v>
      </c>
      <c r="U56" s="21" t="s">
        <v>9</v>
      </c>
    </row>
    <row r="57" spans="2:21">
      <c r="B57" s="31">
        <v>6.4</v>
      </c>
      <c r="C57" s="18">
        <v>3.2</v>
      </c>
      <c r="D57" s="18">
        <v>4.5</v>
      </c>
      <c r="E57" s="18">
        <v>1.5</v>
      </c>
      <c r="F57" s="18" t="s">
        <v>1</v>
      </c>
      <c r="G57" s="18" t="s">
        <v>9</v>
      </c>
      <c r="H57" s="19" t="s">
        <v>9</v>
      </c>
      <c r="I57" s="20" t="s">
        <v>9</v>
      </c>
      <c r="J57" s="30" t="s">
        <v>9</v>
      </c>
      <c r="M57" s="18">
        <v>5.7</v>
      </c>
      <c r="N57" s="18">
        <v>2.8</v>
      </c>
      <c r="O57" s="18">
        <v>4.5</v>
      </c>
      <c r="P57" s="18">
        <v>1.3</v>
      </c>
      <c r="Q57" s="18" t="s">
        <v>1</v>
      </c>
      <c r="R57" s="18" t="s">
        <v>9</v>
      </c>
      <c r="S57" s="19" t="s">
        <v>8</v>
      </c>
      <c r="T57" s="20" t="s">
        <v>9</v>
      </c>
      <c r="U57" s="21" t="s">
        <v>9</v>
      </c>
    </row>
    <row r="58" spans="2:21">
      <c r="B58" s="29">
        <v>6.3</v>
      </c>
      <c r="C58" s="22">
        <v>3.3</v>
      </c>
      <c r="D58" s="22">
        <v>4.7</v>
      </c>
      <c r="E58" s="22">
        <v>1.6</v>
      </c>
      <c r="F58" s="22" t="s">
        <v>1</v>
      </c>
      <c r="G58" s="18" t="s">
        <v>9</v>
      </c>
      <c r="H58" s="19" t="s">
        <v>9</v>
      </c>
      <c r="I58" s="20" t="s">
        <v>9</v>
      </c>
      <c r="J58" s="30" t="s">
        <v>9</v>
      </c>
      <c r="M58" s="18">
        <v>4.9000000000000004</v>
      </c>
      <c r="N58" s="18">
        <v>2.4</v>
      </c>
      <c r="O58" s="18">
        <v>3.3</v>
      </c>
      <c r="P58" s="18">
        <v>1</v>
      </c>
      <c r="Q58" s="18" t="s">
        <v>1</v>
      </c>
      <c r="R58" s="18" t="s">
        <v>8</v>
      </c>
      <c r="S58" s="19" t="s">
        <v>8</v>
      </c>
      <c r="T58" s="20" t="s">
        <v>9</v>
      </c>
      <c r="U58" s="21" t="s">
        <v>9</v>
      </c>
    </row>
    <row r="59" spans="2:21">
      <c r="B59" s="31">
        <v>5.9</v>
      </c>
      <c r="C59" s="18">
        <v>3</v>
      </c>
      <c r="D59" s="18">
        <v>4.2</v>
      </c>
      <c r="E59" s="18">
        <v>1.5</v>
      </c>
      <c r="F59" s="18" t="s">
        <v>1</v>
      </c>
      <c r="G59" s="18" t="s">
        <v>9</v>
      </c>
      <c r="H59" s="19" t="s">
        <v>9</v>
      </c>
      <c r="I59" s="20" t="s">
        <v>9</v>
      </c>
      <c r="J59" s="30" t="s">
        <v>9</v>
      </c>
      <c r="M59" s="22">
        <v>6.6</v>
      </c>
      <c r="N59" s="22">
        <v>2.9</v>
      </c>
      <c r="O59" s="22">
        <v>4.5999999999999996</v>
      </c>
      <c r="P59" s="22">
        <v>1.3</v>
      </c>
      <c r="Q59" s="22" t="s">
        <v>1</v>
      </c>
      <c r="R59" s="18" t="s">
        <v>10</v>
      </c>
      <c r="S59" s="19" t="s">
        <v>8</v>
      </c>
      <c r="T59" s="20" t="s">
        <v>9</v>
      </c>
      <c r="U59" s="21" t="s">
        <v>9</v>
      </c>
    </row>
    <row r="60" spans="2:21">
      <c r="B60" s="31">
        <v>6.7</v>
      </c>
      <c r="C60" s="18">
        <v>3.1</v>
      </c>
      <c r="D60" s="18">
        <v>4.4000000000000004</v>
      </c>
      <c r="E60" s="18">
        <v>1.4</v>
      </c>
      <c r="F60" s="18" t="s">
        <v>1</v>
      </c>
      <c r="G60" s="18" t="s">
        <v>10</v>
      </c>
      <c r="H60" s="19" t="s">
        <v>9</v>
      </c>
      <c r="I60" s="20" t="s">
        <v>9</v>
      </c>
      <c r="J60" s="30" t="s">
        <v>9</v>
      </c>
      <c r="M60" s="18">
        <v>5.2</v>
      </c>
      <c r="N60" s="18">
        <v>2.7</v>
      </c>
      <c r="O60" s="18">
        <v>3.9</v>
      </c>
      <c r="P60" s="18">
        <v>1.4</v>
      </c>
      <c r="Q60" s="18" t="s">
        <v>1</v>
      </c>
      <c r="R60" s="18" t="s">
        <v>8</v>
      </c>
      <c r="S60" s="19" t="s">
        <v>8</v>
      </c>
      <c r="T60" s="20" t="s">
        <v>9</v>
      </c>
      <c r="U60" s="21" t="s">
        <v>9</v>
      </c>
    </row>
    <row r="61" spans="2:21">
      <c r="B61" s="29">
        <v>5.6</v>
      </c>
      <c r="C61" s="22">
        <v>3</v>
      </c>
      <c r="D61" s="22">
        <v>4.5</v>
      </c>
      <c r="E61" s="22">
        <v>1.5</v>
      </c>
      <c r="F61" s="22" t="s">
        <v>1</v>
      </c>
      <c r="G61" s="18" t="s">
        <v>9</v>
      </c>
      <c r="H61" s="19" t="s">
        <v>9</v>
      </c>
      <c r="I61" s="20" t="s">
        <v>9</v>
      </c>
      <c r="J61" s="30" t="s">
        <v>9</v>
      </c>
      <c r="M61" s="22">
        <v>5</v>
      </c>
      <c r="N61" s="22">
        <v>2</v>
      </c>
      <c r="O61" s="22">
        <v>3.5</v>
      </c>
      <c r="P61" s="22">
        <v>1</v>
      </c>
      <c r="Q61" s="22" t="s">
        <v>1</v>
      </c>
      <c r="R61" s="18" t="s">
        <v>8</v>
      </c>
      <c r="S61" s="19" t="s">
        <v>8</v>
      </c>
      <c r="T61" s="20" t="s">
        <v>9</v>
      </c>
      <c r="U61" s="21" t="s">
        <v>9</v>
      </c>
    </row>
    <row r="62" spans="2:21">
      <c r="B62" s="29">
        <v>6.6</v>
      </c>
      <c r="C62" s="22">
        <v>3</v>
      </c>
      <c r="D62" s="22">
        <v>4.4000000000000004</v>
      </c>
      <c r="E62" s="22">
        <v>1.4</v>
      </c>
      <c r="F62" s="22" t="s">
        <v>1</v>
      </c>
      <c r="G62" s="23" t="s">
        <v>10</v>
      </c>
      <c r="H62" s="19" t="s">
        <v>9</v>
      </c>
      <c r="I62" s="20" t="s">
        <v>9</v>
      </c>
      <c r="J62" s="30" t="s">
        <v>9</v>
      </c>
      <c r="M62" s="22">
        <v>6</v>
      </c>
      <c r="N62" s="22">
        <v>2.2000000000000002</v>
      </c>
      <c r="O62" s="22">
        <v>4</v>
      </c>
      <c r="P62" s="22">
        <v>1</v>
      </c>
      <c r="Q62" s="22" t="s">
        <v>1</v>
      </c>
      <c r="R62" s="18" t="s">
        <v>9</v>
      </c>
      <c r="S62" s="19" t="s">
        <v>8</v>
      </c>
      <c r="T62" s="20" t="s">
        <v>9</v>
      </c>
      <c r="U62" s="21" t="s">
        <v>9</v>
      </c>
    </row>
    <row r="63" spans="2:21">
      <c r="B63" s="29">
        <v>5.4</v>
      </c>
      <c r="C63" s="22">
        <v>3</v>
      </c>
      <c r="D63" s="22">
        <v>4.5</v>
      </c>
      <c r="E63" s="22">
        <v>1.5</v>
      </c>
      <c r="F63" s="22" t="s">
        <v>1</v>
      </c>
      <c r="G63" s="23" t="s">
        <v>8</v>
      </c>
      <c r="H63" s="19" t="s">
        <v>9</v>
      </c>
      <c r="I63" s="20" t="s">
        <v>9</v>
      </c>
      <c r="J63" s="30" t="s">
        <v>9</v>
      </c>
      <c r="M63" s="18">
        <v>6.1</v>
      </c>
      <c r="N63" s="18">
        <v>2.9</v>
      </c>
      <c r="O63" s="18">
        <v>4.7</v>
      </c>
      <c r="P63" s="18">
        <v>1.4</v>
      </c>
      <c r="Q63" s="18" t="s">
        <v>1</v>
      </c>
      <c r="R63" s="18" t="s">
        <v>9</v>
      </c>
      <c r="S63" s="19" t="s">
        <v>8</v>
      </c>
      <c r="T63" s="20" t="s">
        <v>9</v>
      </c>
      <c r="U63" s="21" t="s">
        <v>9</v>
      </c>
    </row>
    <row r="64" spans="2:21">
      <c r="B64" s="29">
        <v>6</v>
      </c>
      <c r="C64" s="22">
        <v>3.4</v>
      </c>
      <c r="D64" s="22">
        <v>4.5</v>
      </c>
      <c r="E64" s="22">
        <v>1.6</v>
      </c>
      <c r="F64" s="22" t="s">
        <v>1</v>
      </c>
      <c r="G64" s="23" t="s">
        <v>9</v>
      </c>
      <c r="H64" s="19" t="s">
        <v>9</v>
      </c>
      <c r="I64" s="20" t="s">
        <v>9</v>
      </c>
      <c r="J64" s="30" t="s">
        <v>9</v>
      </c>
      <c r="M64" s="22">
        <v>5.6</v>
      </c>
      <c r="N64" s="22">
        <v>2.9</v>
      </c>
      <c r="O64" s="22">
        <v>3.6</v>
      </c>
      <c r="P64" s="22">
        <v>1.3</v>
      </c>
      <c r="Q64" s="22" t="s">
        <v>1</v>
      </c>
      <c r="R64" s="18" t="s">
        <v>9</v>
      </c>
      <c r="S64" s="19" t="s">
        <v>8</v>
      </c>
      <c r="T64" s="20" t="s">
        <v>9</v>
      </c>
      <c r="U64" s="21" t="s">
        <v>9</v>
      </c>
    </row>
    <row r="65" spans="2:21">
      <c r="B65" s="29">
        <v>6.7</v>
      </c>
      <c r="C65" s="22">
        <v>3.1</v>
      </c>
      <c r="D65" s="22">
        <v>4.7</v>
      </c>
      <c r="E65" s="22">
        <v>1.5</v>
      </c>
      <c r="F65" s="22" t="s">
        <v>1</v>
      </c>
      <c r="G65" s="23" t="s">
        <v>10</v>
      </c>
      <c r="H65" s="19" t="s">
        <v>9</v>
      </c>
      <c r="I65" s="20" t="s">
        <v>9</v>
      </c>
      <c r="J65" s="30" t="s">
        <v>9</v>
      </c>
      <c r="M65" s="18">
        <v>5.8</v>
      </c>
      <c r="N65" s="18">
        <v>2.7</v>
      </c>
      <c r="O65" s="18">
        <v>4.0999999999999996</v>
      </c>
      <c r="P65" s="18">
        <v>1</v>
      </c>
      <c r="Q65" s="18" t="s">
        <v>1</v>
      </c>
      <c r="R65" s="18" t="s">
        <v>9</v>
      </c>
      <c r="S65" s="19" t="s">
        <v>8</v>
      </c>
      <c r="T65" s="20" t="s">
        <v>9</v>
      </c>
      <c r="U65" s="21" t="s">
        <v>9</v>
      </c>
    </row>
    <row r="66" spans="2:21">
      <c r="B66" s="29">
        <v>5.6</v>
      </c>
      <c r="C66" s="22">
        <v>3</v>
      </c>
      <c r="D66" s="22">
        <v>4.0999999999999996</v>
      </c>
      <c r="E66" s="22">
        <v>1.3</v>
      </c>
      <c r="F66" s="22" t="s">
        <v>1</v>
      </c>
      <c r="G66" s="23" t="s">
        <v>9</v>
      </c>
      <c r="H66" s="19" t="s">
        <v>9</v>
      </c>
      <c r="I66" s="20" t="s">
        <v>9</v>
      </c>
      <c r="J66" s="30" t="s">
        <v>9</v>
      </c>
      <c r="M66" s="22">
        <v>6.2</v>
      </c>
      <c r="N66" s="22">
        <v>2.2000000000000002</v>
      </c>
      <c r="O66" s="22">
        <v>4.5</v>
      </c>
      <c r="P66" s="22">
        <v>1.5</v>
      </c>
      <c r="Q66" s="22" t="s">
        <v>1</v>
      </c>
      <c r="R66" s="18" t="s">
        <v>9</v>
      </c>
      <c r="S66" s="19" t="s">
        <v>8</v>
      </c>
      <c r="T66" s="20" t="s">
        <v>9</v>
      </c>
      <c r="U66" s="21" t="s">
        <v>9</v>
      </c>
    </row>
    <row r="67" spans="2:21">
      <c r="B67" s="29">
        <v>6.1</v>
      </c>
      <c r="C67" s="22">
        <v>3</v>
      </c>
      <c r="D67" s="22">
        <v>4.5999999999999996</v>
      </c>
      <c r="E67" s="22">
        <v>1.4</v>
      </c>
      <c r="F67" s="22" t="s">
        <v>1</v>
      </c>
      <c r="G67" s="23" t="s">
        <v>9</v>
      </c>
      <c r="H67" s="19" t="s">
        <v>9</v>
      </c>
      <c r="I67" s="20" t="s">
        <v>9</v>
      </c>
      <c r="J67" s="30" t="s">
        <v>9</v>
      </c>
      <c r="M67" s="18">
        <v>5.6</v>
      </c>
      <c r="N67" s="18">
        <v>2.5</v>
      </c>
      <c r="O67" s="18">
        <v>3.9</v>
      </c>
      <c r="P67" s="18">
        <v>1.1000000000000001</v>
      </c>
      <c r="Q67" s="18" t="s">
        <v>1</v>
      </c>
      <c r="R67" s="18" t="s">
        <v>9</v>
      </c>
      <c r="S67" s="19" t="s">
        <v>8</v>
      </c>
      <c r="T67" s="20" t="s">
        <v>9</v>
      </c>
      <c r="U67" s="21" t="s">
        <v>9</v>
      </c>
    </row>
    <row r="68" spans="2:21">
      <c r="B68" s="32">
        <v>5.7</v>
      </c>
      <c r="C68" s="33">
        <v>3</v>
      </c>
      <c r="D68" s="33">
        <v>4.2</v>
      </c>
      <c r="E68" s="33">
        <v>1.2</v>
      </c>
      <c r="F68" s="33" t="s">
        <v>1</v>
      </c>
      <c r="G68" s="34" t="s">
        <v>9</v>
      </c>
      <c r="H68" s="35" t="s">
        <v>9</v>
      </c>
      <c r="I68" s="36" t="s">
        <v>9</v>
      </c>
      <c r="J68" s="37" t="s">
        <v>9</v>
      </c>
      <c r="M68" s="18">
        <v>6.1</v>
      </c>
      <c r="N68" s="18">
        <v>2.8</v>
      </c>
      <c r="O68" s="18">
        <v>4</v>
      </c>
      <c r="P68" s="18">
        <v>1.3</v>
      </c>
      <c r="Q68" s="18" t="s">
        <v>1</v>
      </c>
      <c r="R68" s="18" t="s">
        <v>9</v>
      </c>
      <c r="S68" s="19" t="s">
        <v>8</v>
      </c>
      <c r="T68" s="20" t="s">
        <v>9</v>
      </c>
      <c r="U68" s="21" t="s">
        <v>9</v>
      </c>
    </row>
    <row r="69" spans="2:21">
      <c r="M69" s="18">
        <v>6.1</v>
      </c>
      <c r="N69" s="18">
        <v>2.8</v>
      </c>
      <c r="O69" s="18">
        <v>4.7</v>
      </c>
      <c r="P69" s="18">
        <v>1.2</v>
      </c>
      <c r="Q69" s="18" t="s">
        <v>1</v>
      </c>
      <c r="R69" s="18" t="s">
        <v>9</v>
      </c>
      <c r="S69" s="19" t="s">
        <v>8</v>
      </c>
      <c r="T69" s="20" t="s">
        <v>9</v>
      </c>
      <c r="U69" s="21" t="s">
        <v>9</v>
      </c>
    </row>
    <row r="70" spans="2:21">
      <c r="M70" s="22">
        <v>6.4</v>
      </c>
      <c r="N70" s="22">
        <v>2.9</v>
      </c>
      <c r="O70" s="22">
        <v>4.3</v>
      </c>
      <c r="P70" s="22">
        <v>1.3</v>
      </c>
      <c r="Q70" s="22" t="s">
        <v>1</v>
      </c>
      <c r="R70" s="18" t="s">
        <v>9</v>
      </c>
      <c r="S70" s="19" t="s">
        <v>8</v>
      </c>
      <c r="T70" s="20" t="s">
        <v>9</v>
      </c>
      <c r="U70" s="21" t="s">
        <v>9</v>
      </c>
    </row>
    <row r="71" spans="2:21">
      <c r="M71" s="22">
        <v>6.8</v>
      </c>
      <c r="N71" s="22">
        <v>2.8</v>
      </c>
      <c r="O71" s="22">
        <v>4.8</v>
      </c>
      <c r="P71" s="22">
        <v>1.4</v>
      </c>
      <c r="Q71" s="22" t="s">
        <v>1</v>
      </c>
      <c r="R71" s="18" t="s">
        <v>10</v>
      </c>
      <c r="S71" s="19" t="s">
        <v>8</v>
      </c>
      <c r="T71" s="20" t="s">
        <v>9</v>
      </c>
      <c r="U71" s="21" t="s">
        <v>9</v>
      </c>
    </row>
    <row r="72" spans="2:21">
      <c r="M72" s="22">
        <v>6</v>
      </c>
      <c r="N72" s="22">
        <v>2.9</v>
      </c>
      <c r="O72" s="22">
        <v>4.5</v>
      </c>
      <c r="P72" s="22">
        <v>1.5</v>
      </c>
      <c r="Q72" s="22" t="s">
        <v>1</v>
      </c>
      <c r="R72" s="18" t="s">
        <v>9</v>
      </c>
      <c r="S72" s="19" t="s">
        <v>8</v>
      </c>
      <c r="T72" s="20" t="s">
        <v>9</v>
      </c>
      <c r="U72" s="21" t="s">
        <v>9</v>
      </c>
    </row>
    <row r="73" spans="2:21">
      <c r="M73" s="18">
        <v>5.7</v>
      </c>
      <c r="N73" s="18">
        <v>2.6</v>
      </c>
      <c r="O73" s="18">
        <v>3.5</v>
      </c>
      <c r="P73" s="18">
        <v>1</v>
      </c>
      <c r="Q73" s="18" t="s">
        <v>1</v>
      </c>
      <c r="R73" s="18" t="s">
        <v>9</v>
      </c>
      <c r="S73" s="19" t="s">
        <v>8</v>
      </c>
      <c r="T73" s="20" t="s">
        <v>9</v>
      </c>
      <c r="U73" s="21" t="s">
        <v>9</v>
      </c>
    </row>
    <row r="74" spans="2:21">
      <c r="M74" s="22">
        <v>5.5</v>
      </c>
      <c r="N74" s="22">
        <v>2.4</v>
      </c>
      <c r="O74" s="22">
        <v>3.8</v>
      </c>
      <c r="P74" s="22">
        <v>1.1000000000000001</v>
      </c>
      <c r="Q74" s="22" t="s">
        <v>1</v>
      </c>
      <c r="R74" s="18" t="s">
        <v>8</v>
      </c>
      <c r="S74" s="19" t="s">
        <v>8</v>
      </c>
      <c r="T74" s="20" t="s">
        <v>9</v>
      </c>
      <c r="U74" s="21" t="s">
        <v>9</v>
      </c>
    </row>
    <row r="75" spans="2:21">
      <c r="M75" s="18">
        <v>5.5</v>
      </c>
      <c r="N75" s="18">
        <v>2.4</v>
      </c>
      <c r="O75" s="18">
        <v>3.7</v>
      </c>
      <c r="P75" s="18">
        <v>1</v>
      </c>
      <c r="Q75" s="18" t="s">
        <v>1</v>
      </c>
      <c r="R75" s="18" t="s">
        <v>8</v>
      </c>
      <c r="S75" s="19" t="s">
        <v>8</v>
      </c>
      <c r="T75" s="20" t="s">
        <v>9</v>
      </c>
      <c r="U75" s="21" t="s">
        <v>9</v>
      </c>
    </row>
    <row r="76" spans="2:21">
      <c r="M76" s="22">
        <v>5.8</v>
      </c>
      <c r="N76" s="22">
        <v>2.7</v>
      </c>
      <c r="O76" s="22">
        <v>3.9</v>
      </c>
      <c r="P76" s="22">
        <v>1.2</v>
      </c>
      <c r="Q76" s="22" t="s">
        <v>1</v>
      </c>
      <c r="R76" s="18" t="s">
        <v>9</v>
      </c>
      <c r="S76" s="19" t="s">
        <v>8</v>
      </c>
      <c r="T76" s="20" t="s">
        <v>9</v>
      </c>
      <c r="U76" s="21" t="s">
        <v>9</v>
      </c>
    </row>
    <row r="77" spans="2:21">
      <c r="M77" s="18">
        <v>6.3</v>
      </c>
      <c r="N77" s="18">
        <v>2.2999999999999998</v>
      </c>
      <c r="O77" s="18">
        <v>4.4000000000000004</v>
      </c>
      <c r="P77" s="18">
        <v>1.3</v>
      </c>
      <c r="Q77" s="18" t="s">
        <v>1</v>
      </c>
      <c r="R77" s="18" t="s">
        <v>9</v>
      </c>
      <c r="S77" s="19" t="s">
        <v>8</v>
      </c>
      <c r="T77" s="20" t="s">
        <v>9</v>
      </c>
      <c r="U77" s="21" t="s">
        <v>9</v>
      </c>
    </row>
    <row r="78" spans="2:21">
      <c r="M78" s="18">
        <v>5.5</v>
      </c>
      <c r="N78" s="18">
        <v>2.5</v>
      </c>
      <c r="O78" s="18">
        <v>4</v>
      </c>
      <c r="P78" s="18">
        <v>1.3</v>
      </c>
      <c r="Q78" s="18" t="s">
        <v>1</v>
      </c>
      <c r="R78" s="18" t="s">
        <v>8</v>
      </c>
      <c r="S78" s="19" t="s">
        <v>8</v>
      </c>
      <c r="T78" s="20" t="s">
        <v>9</v>
      </c>
      <c r="U78" s="21" t="s">
        <v>9</v>
      </c>
    </row>
    <row r="79" spans="2:21">
      <c r="M79" s="22">
        <v>5.5</v>
      </c>
      <c r="N79" s="22">
        <v>2.6</v>
      </c>
      <c r="O79" s="22">
        <v>4.4000000000000004</v>
      </c>
      <c r="P79" s="22">
        <v>1.2</v>
      </c>
      <c r="Q79" s="22" t="s">
        <v>1</v>
      </c>
      <c r="R79" s="18" t="s">
        <v>8</v>
      </c>
      <c r="S79" s="19" t="s">
        <v>8</v>
      </c>
      <c r="T79" s="20" t="s">
        <v>9</v>
      </c>
      <c r="U79" s="21" t="s">
        <v>9</v>
      </c>
    </row>
    <row r="80" spans="2:21">
      <c r="M80" s="22">
        <v>5.8</v>
      </c>
      <c r="N80" s="22">
        <v>2.6</v>
      </c>
      <c r="O80" s="22">
        <v>4</v>
      </c>
      <c r="P80" s="22">
        <v>1.2</v>
      </c>
      <c r="Q80" s="22" t="s">
        <v>1</v>
      </c>
      <c r="R80" s="18" t="s">
        <v>9</v>
      </c>
      <c r="S80" s="19" t="s">
        <v>8</v>
      </c>
      <c r="T80" s="20" t="s">
        <v>9</v>
      </c>
      <c r="U80" s="21" t="s">
        <v>9</v>
      </c>
    </row>
    <row r="81" spans="13:21">
      <c r="M81" s="18">
        <v>5</v>
      </c>
      <c r="N81" s="18">
        <v>2.2999999999999998</v>
      </c>
      <c r="O81" s="18">
        <v>3.3</v>
      </c>
      <c r="P81" s="18">
        <v>1</v>
      </c>
      <c r="Q81" s="18" t="s">
        <v>1</v>
      </c>
      <c r="R81" s="18" t="s">
        <v>8</v>
      </c>
      <c r="S81" s="19" t="s">
        <v>8</v>
      </c>
      <c r="T81" s="20" t="s">
        <v>9</v>
      </c>
      <c r="U81" s="21" t="s">
        <v>9</v>
      </c>
    </row>
    <row r="82" spans="13:21">
      <c r="M82" s="22">
        <v>5.6</v>
      </c>
      <c r="N82" s="22">
        <v>2.7</v>
      </c>
      <c r="O82" s="22">
        <v>4.2</v>
      </c>
      <c r="P82" s="22">
        <v>1.3</v>
      </c>
      <c r="Q82" s="22" t="s">
        <v>1</v>
      </c>
      <c r="R82" s="23" t="s">
        <v>9</v>
      </c>
      <c r="S82" s="19" t="s">
        <v>8</v>
      </c>
      <c r="T82" s="20" t="s">
        <v>9</v>
      </c>
      <c r="U82" s="21" t="s">
        <v>9</v>
      </c>
    </row>
    <row r="83" spans="13:21">
      <c r="M83" s="18">
        <v>5.7</v>
      </c>
      <c r="N83" s="18">
        <v>2.9</v>
      </c>
      <c r="O83" s="18">
        <v>4.2</v>
      </c>
      <c r="P83" s="18">
        <v>1.3</v>
      </c>
      <c r="Q83" s="18" t="s">
        <v>1</v>
      </c>
      <c r="R83" s="23" t="s">
        <v>9</v>
      </c>
      <c r="S83" s="19" t="s">
        <v>8</v>
      </c>
      <c r="T83" s="20" t="s">
        <v>9</v>
      </c>
      <c r="U83" s="21" t="s">
        <v>9</v>
      </c>
    </row>
    <row r="84" spans="13:21">
      <c r="M84" s="18">
        <v>6.2</v>
      </c>
      <c r="N84" s="18">
        <v>2.9</v>
      </c>
      <c r="O84" s="18">
        <v>4.3</v>
      </c>
      <c r="P84" s="18">
        <v>1.3</v>
      </c>
      <c r="Q84" s="18" t="s">
        <v>1</v>
      </c>
      <c r="R84" s="23" t="s">
        <v>9</v>
      </c>
      <c r="S84" s="19" t="s">
        <v>8</v>
      </c>
      <c r="T84" s="20" t="s">
        <v>9</v>
      </c>
      <c r="U84" s="21" t="s">
        <v>9</v>
      </c>
    </row>
    <row r="85" spans="13:21">
      <c r="M85" s="18">
        <v>5.0999999999999996</v>
      </c>
      <c r="N85" s="18">
        <v>2.5</v>
      </c>
      <c r="O85" s="18">
        <v>3</v>
      </c>
      <c r="P85" s="18">
        <v>1.1000000000000001</v>
      </c>
      <c r="Q85" s="18" t="s">
        <v>1</v>
      </c>
      <c r="R85" s="23" t="s">
        <v>8</v>
      </c>
      <c r="S85" s="19" t="s">
        <v>8</v>
      </c>
      <c r="T85" s="20" t="s">
        <v>9</v>
      </c>
      <c r="U85" s="21" t="s">
        <v>9</v>
      </c>
    </row>
    <row r="86" spans="13:21">
      <c r="M86" s="18">
        <v>5.7</v>
      </c>
      <c r="N86" s="18">
        <v>2.8</v>
      </c>
      <c r="O86" s="18">
        <v>4.0999999999999996</v>
      </c>
      <c r="P86" s="18">
        <v>1.3</v>
      </c>
      <c r="Q86" s="18" t="s">
        <v>1</v>
      </c>
      <c r="R86" s="23" t="s">
        <v>9</v>
      </c>
      <c r="S86" s="19" t="s">
        <v>8</v>
      </c>
      <c r="T86" s="20" t="s">
        <v>9</v>
      </c>
      <c r="U86" s="21" t="s">
        <v>9</v>
      </c>
    </row>
    <row r="87" spans="13:21" hidden="1">
      <c r="M87" s="1">
        <v>4.9000000000000004</v>
      </c>
      <c r="N87" s="1">
        <v>2.5</v>
      </c>
      <c r="O87" s="1">
        <v>4.5</v>
      </c>
      <c r="P87" s="1">
        <v>1.7</v>
      </c>
      <c r="Q87" s="1" t="s">
        <v>2</v>
      </c>
      <c r="R87" s="8" t="s">
        <v>8</v>
      </c>
      <c r="S87" s="45" t="s">
        <v>8</v>
      </c>
      <c r="T87" s="46" t="s">
        <v>9</v>
      </c>
      <c r="U87" s="7" t="s">
        <v>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A23E8-9D11-4EFF-8B3F-2743E7382657}">
  <dimension ref="B2:J37"/>
  <sheetViews>
    <sheetView workbookViewId="0">
      <selection activeCell="L22" sqref="L22:L23"/>
    </sheetView>
  </sheetViews>
  <sheetFormatPr baseColWidth="10" defaultRowHeight="15"/>
  <cols>
    <col min="2" max="2" width="18.7109375" customWidth="1"/>
    <col min="3" max="3" width="17" customWidth="1"/>
    <col min="4" max="4" width="18.7109375" customWidth="1"/>
    <col min="5" max="5" width="16.85546875" customWidth="1"/>
    <col min="7" max="7" width="19.7109375" customWidth="1"/>
    <col min="8" max="8" width="18" customWidth="1"/>
    <col min="9" max="9" width="19.7109375" customWidth="1"/>
    <col min="10" max="10" width="17.85546875" customWidth="1"/>
    <col min="13" max="13" width="18.7109375" customWidth="1"/>
    <col min="14" max="14" width="17" customWidth="1"/>
    <col min="15" max="15" width="18.7109375" customWidth="1"/>
    <col min="16" max="16" width="16.85546875" customWidth="1"/>
    <col min="18" max="18" width="19.7109375" customWidth="1"/>
    <col min="19" max="19" width="18" customWidth="1"/>
    <col min="20" max="20" width="19.7109375" customWidth="1"/>
    <col min="21" max="21" width="17.85546875" customWidth="1"/>
  </cols>
  <sheetData>
    <row r="2" spans="2:10">
      <c r="B2" s="65" t="s">
        <v>28</v>
      </c>
      <c r="C2" s="66" t="s">
        <v>29</v>
      </c>
      <c r="D2" s="66" t="s">
        <v>30</v>
      </c>
      <c r="E2" s="66" t="s">
        <v>31</v>
      </c>
      <c r="F2" s="66" t="s">
        <v>24</v>
      </c>
      <c r="G2" s="66" t="s">
        <v>32</v>
      </c>
      <c r="H2" s="66" t="s">
        <v>33</v>
      </c>
      <c r="I2" s="66" t="s">
        <v>34</v>
      </c>
      <c r="J2" s="67" t="s">
        <v>35</v>
      </c>
    </row>
    <row r="3" spans="2:10">
      <c r="B3" s="31">
        <v>5.5</v>
      </c>
      <c r="C3" s="18">
        <v>2.2999999999999998</v>
      </c>
      <c r="D3" s="18">
        <v>4</v>
      </c>
      <c r="E3" s="18">
        <v>1.3</v>
      </c>
      <c r="F3" s="18" t="s">
        <v>1</v>
      </c>
      <c r="G3" s="19" t="s">
        <v>8</v>
      </c>
      <c r="H3" s="18" t="s">
        <v>8</v>
      </c>
      <c r="I3" s="20" t="s">
        <v>9</v>
      </c>
      <c r="J3" s="30" t="s">
        <v>9</v>
      </c>
    </row>
    <row r="4" spans="2:10">
      <c r="B4" s="31">
        <v>4.9000000000000004</v>
      </c>
      <c r="C4" s="18">
        <v>2.4</v>
      </c>
      <c r="D4" s="18">
        <v>3.3</v>
      </c>
      <c r="E4" s="18">
        <v>1</v>
      </c>
      <c r="F4" s="18" t="s">
        <v>1</v>
      </c>
      <c r="G4" s="19" t="s">
        <v>8</v>
      </c>
      <c r="H4" s="18" t="s">
        <v>8</v>
      </c>
      <c r="I4" s="20" t="s">
        <v>9</v>
      </c>
      <c r="J4" s="30" t="s">
        <v>9</v>
      </c>
    </row>
    <row r="5" spans="2:10">
      <c r="B5" s="31">
        <v>5.2</v>
      </c>
      <c r="C5" s="18">
        <v>2.7</v>
      </c>
      <c r="D5" s="18">
        <v>3.9</v>
      </c>
      <c r="E5" s="18">
        <v>1.4</v>
      </c>
      <c r="F5" s="18" t="s">
        <v>1</v>
      </c>
      <c r="G5" s="19" t="s">
        <v>8</v>
      </c>
      <c r="H5" s="18" t="s">
        <v>8</v>
      </c>
      <c r="I5" s="20" t="s">
        <v>9</v>
      </c>
      <c r="J5" s="30" t="s">
        <v>9</v>
      </c>
    </row>
    <row r="6" spans="2:10">
      <c r="B6" s="29">
        <v>5</v>
      </c>
      <c r="C6" s="22">
        <v>2</v>
      </c>
      <c r="D6" s="22">
        <v>3.5</v>
      </c>
      <c r="E6" s="22">
        <v>1</v>
      </c>
      <c r="F6" s="22" t="s">
        <v>1</v>
      </c>
      <c r="G6" s="19" t="s">
        <v>8</v>
      </c>
      <c r="H6" s="18" t="s">
        <v>8</v>
      </c>
      <c r="I6" s="20" t="s">
        <v>9</v>
      </c>
      <c r="J6" s="30" t="s">
        <v>9</v>
      </c>
    </row>
    <row r="7" spans="2:10">
      <c r="B7" s="29">
        <v>5.5</v>
      </c>
      <c r="C7" s="22">
        <v>2.4</v>
      </c>
      <c r="D7" s="22">
        <v>3.8</v>
      </c>
      <c r="E7" s="22">
        <v>1.1000000000000001</v>
      </c>
      <c r="F7" s="22" t="s">
        <v>1</v>
      </c>
      <c r="G7" s="19" t="s">
        <v>8</v>
      </c>
      <c r="H7" s="18" t="s">
        <v>8</v>
      </c>
      <c r="I7" s="20" t="s">
        <v>9</v>
      </c>
      <c r="J7" s="30" t="s">
        <v>9</v>
      </c>
    </row>
    <row r="8" spans="2:10">
      <c r="B8" s="31">
        <v>5.5</v>
      </c>
      <c r="C8" s="18">
        <v>2.4</v>
      </c>
      <c r="D8" s="18">
        <v>3.7</v>
      </c>
      <c r="E8" s="18">
        <v>1</v>
      </c>
      <c r="F8" s="18" t="s">
        <v>1</v>
      </c>
      <c r="G8" s="19" t="s">
        <v>8</v>
      </c>
      <c r="H8" s="18" t="s">
        <v>8</v>
      </c>
      <c r="I8" s="20" t="s">
        <v>9</v>
      </c>
      <c r="J8" s="30" t="s">
        <v>9</v>
      </c>
    </row>
    <row r="9" spans="2:10">
      <c r="B9" s="29">
        <v>5.4</v>
      </c>
      <c r="C9" s="22">
        <v>3</v>
      </c>
      <c r="D9" s="22">
        <v>4.5</v>
      </c>
      <c r="E9" s="22">
        <v>1.5</v>
      </c>
      <c r="F9" s="22" t="s">
        <v>1</v>
      </c>
      <c r="G9" s="19" t="s">
        <v>8</v>
      </c>
      <c r="H9" s="18" t="s">
        <v>9</v>
      </c>
      <c r="I9" s="20" t="s">
        <v>9</v>
      </c>
      <c r="J9" s="30" t="s">
        <v>9</v>
      </c>
    </row>
    <row r="10" spans="2:10">
      <c r="B10" s="31">
        <v>5.5</v>
      </c>
      <c r="C10" s="18">
        <v>2.5</v>
      </c>
      <c r="D10" s="18">
        <v>4</v>
      </c>
      <c r="E10" s="18">
        <v>1.3</v>
      </c>
      <c r="F10" s="18" t="s">
        <v>1</v>
      </c>
      <c r="G10" s="19" t="s">
        <v>8</v>
      </c>
      <c r="H10" s="18" t="s">
        <v>8</v>
      </c>
      <c r="I10" s="20" t="s">
        <v>9</v>
      </c>
      <c r="J10" s="30" t="s">
        <v>9</v>
      </c>
    </row>
    <row r="11" spans="2:10">
      <c r="B11" s="29">
        <v>5.5</v>
      </c>
      <c r="C11" s="22">
        <v>2.6</v>
      </c>
      <c r="D11" s="22">
        <v>4.4000000000000004</v>
      </c>
      <c r="E11" s="22">
        <v>1.2</v>
      </c>
      <c r="F11" s="22" t="s">
        <v>1</v>
      </c>
      <c r="G11" s="19" t="s">
        <v>8</v>
      </c>
      <c r="H11" s="18" t="s">
        <v>8</v>
      </c>
      <c r="I11" s="20" t="s">
        <v>9</v>
      </c>
      <c r="J11" s="30" t="s">
        <v>9</v>
      </c>
    </row>
    <row r="12" spans="2:10">
      <c r="B12" s="31">
        <v>5</v>
      </c>
      <c r="C12" s="18">
        <v>2.2999999999999998</v>
      </c>
      <c r="D12" s="18">
        <v>3.3</v>
      </c>
      <c r="E12" s="18">
        <v>1</v>
      </c>
      <c r="F12" s="18" t="s">
        <v>1</v>
      </c>
      <c r="G12" s="19" t="s">
        <v>8</v>
      </c>
      <c r="H12" s="18" t="s">
        <v>8</v>
      </c>
      <c r="I12" s="20" t="s">
        <v>9</v>
      </c>
      <c r="J12" s="30" t="s">
        <v>9</v>
      </c>
    </row>
    <row r="13" spans="2:10">
      <c r="B13" s="29">
        <v>5.0999999999999996</v>
      </c>
      <c r="C13" s="22">
        <v>2.5</v>
      </c>
      <c r="D13" s="22">
        <v>3</v>
      </c>
      <c r="E13" s="22">
        <v>1.1000000000000001</v>
      </c>
      <c r="F13" s="22" t="s">
        <v>1</v>
      </c>
      <c r="G13" s="19" t="s">
        <v>8</v>
      </c>
      <c r="H13" s="18" t="s">
        <v>8</v>
      </c>
      <c r="I13" s="20" t="s">
        <v>9</v>
      </c>
      <c r="J13" s="30" t="s">
        <v>9</v>
      </c>
    </row>
    <row r="14" spans="2:10">
      <c r="B14" s="32">
        <v>4.9000000000000004</v>
      </c>
      <c r="C14" s="33">
        <v>2.5</v>
      </c>
      <c r="D14" s="33">
        <v>4.5</v>
      </c>
      <c r="E14" s="33">
        <v>1.7</v>
      </c>
      <c r="F14" s="33" t="s">
        <v>2</v>
      </c>
      <c r="G14" s="35" t="s">
        <v>8</v>
      </c>
      <c r="H14" s="47" t="s">
        <v>8</v>
      </c>
      <c r="I14" s="36" t="s">
        <v>9</v>
      </c>
      <c r="J14" s="37" t="s">
        <v>9</v>
      </c>
    </row>
    <row r="17" spans="2:10">
      <c r="B17" s="12" t="s">
        <v>15</v>
      </c>
      <c r="C17" s="12">
        <v>0.41299999999999998</v>
      </c>
    </row>
    <row r="20" spans="2:10">
      <c r="B20" s="24" t="s">
        <v>17</v>
      </c>
      <c r="C20" s="25">
        <v>0</v>
      </c>
    </row>
    <row r="21" spans="2:10">
      <c r="B21" s="70" t="s">
        <v>28</v>
      </c>
      <c r="C21" s="71" t="s">
        <v>29</v>
      </c>
      <c r="D21" s="71" t="s">
        <v>30</v>
      </c>
      <c r="E21" s="71" t="s">
        <v>31</v>
      </c>
      <c r="F21" s="71" t="s">
        <v>24</v>
      </c>
      <c r="G21" s="71" t="s">
        <v>32</v>
      </c>
      <c r="H21" s="71" t="s">
        <v>33</v>
      </c>
      <c r="I21" s="71" t="s">
        <v>34</v>
      </c>
      <c r="J21" s="72" t="s">
        <v>35</v>
      </c>
    </row>
    <row r="22" spans="2:10">
      <c r="B22" s="32">
        <v>5.4</v>
      </c>
      <c r="C22" s="33">
        <v>3</v>
      </c>
      <c r="D22" s="33">
        <v>4.5</v>
      </c>
      <c r="E22" s="33">
        <v>1.5</v>
      </c>
      <c r="F22" s="33" t="s">
        <v>1</v>
      </c>
      <c r="G22" s="35" t="s">
        <v>8</v>
      </c>
      <c r="H22" s="68" t="s">
        <v>9</v>
      </c>
      <c r="I22" s="36" t="s">
        <v>9</v>
      </c>
      <c r="J22" s="37" t="s">
        <v>9</v>
      </c>
    </row>
    <row r="25" spans="2:10">
      <c r="B25" s="24" t="s">
        <v>17</v>
      </c>
      <c r="C25" s="25">
        <v>0</v>
      </c>
    </row>
    <row r="26" spans="2:10">
      <c r="B26" s="26" t="s">
        <v>28</v>
      </c>
      <c r="C26" s="27" t="s">
        <v>29</v>
      </c>
      <c r="D26" s="27" t="s">
        <v>30</v>
      </c>
      <c r="E26" s="27" t="s">
        <v>31</v>
      </c>
      <c r="F26" s="27" t="s">
        <v>24</v>
      </c>
      <c r="G26" s="27" t="s">
        <v>32</v>
      </c>
      <c r="H26" s="27" t="s">
        <v>33</v>
      </c>
      <c r="I26" s="27" t="s">
        <v>34</v>
      </c>
      <c r="J26" s="28" t="s">
        <v>35</v>
      </c>
    </row>
    <row r="27" spans="2:10">
      <c r="B27" s="31">
        <v>5.5</v>
      </c>
      <c r="C27" s="18">
        <v>2.2999999999999998</v>
      </c>
      <c r="D27" s="18">
        <v>4</v>
      </c>
      <c r="E27" s="18">
        <v>1.3</v>
      </c>
      <c r="F27" s="18" t="s">
        <v>1</v>
      </c>
      <c r="G27" s="19" t="s">
        <v>8</v>
      </c>
      <c r="H27" s="69" t="s">
        <v>8</v>
      </c>
      <c r="I27" s="20" t="s">
        <v>9</v>
      </c>
      <c r="J27" s="30" t="s">
        <v>9</v>
      </c>
    </row>
    <row r="28" spans="2:10">
      <c r="B28" s="31">
        <v>4.9000000000000004</v>
      </c>
      <c r="C28" s="18">
        <v>2.4</v>
      </c>
      <c r="D28" s="18">
        <v>3.3</v>
      </c>
      <c r="E28" s="18">
        <v>1</v>
      </c>
      <c r="F28" s="18" t="s">
        <v>1</v>
      </c>
      <c r="G28" s="19" t="s">
        <v>8</v>
      </c>
      <c r="H28" s="69" t="s">
        <v>8</v>
      </c>
      <c r="I28" s="20" t="s">
        <v>9</v>
      </c>
      <c r="J28" s="30" t="s">
        <v>9</v>
      </c>
    </row>
    <row r="29" spans="2:10">
      <c r="B29" s="31">
        <v>5.2</v>
      </c>
      <c r="C29" s="18">
        <v>2.7</v>
      </c>
      <c r="D29" s="18">
        <v>3.9</v>
      </c>
      <c r="E29" s="18">
        <v>1.4</v>
      </c>
      <c r="F29" s="18" t="s">
        <v>1</v>
      </c>
      <c r="G29" s="19" t="s">
        <v>8</v>
      </c>
      <c r="H29" s="69" t="s">
        <v>8</v>
      </c>
      <c r="I29" s="20" t="s">
        <v>9</v>
      </c>
      <c r="J29" s="30" t="s">
        <v>9</v>
      </c>
    </row>
    <row r="30" spans="2:10">
      <c r="B30" s="29">
        <v>5</v>
      </c>
      <c r="C30" s="22">
        <v>2</v>
      </c>
      <c r="D30" s="22">
        <v>3.5</v>
      </c>
      <c r="E30" s="22">
        <v>1</v>
      </c>
      <c r="F30" s="22" t="s">
        <v>1</v>
      </c>
      <c r="G30" s="19" t="s">
        <v>8</v>
      </c>
      <c r="H30" s="69" t="s">
        <v>8</v>
      </c>
      <c r="I30" s="20" t="s">
        <v>9</v>
      </c>
      <c r="J30" s="30" t="s">
        <v>9</v>
      </c>
    </row>
    <row r="31" spans="2:10">
      <c r="B31" s="29">
        <v>5.5</v>
      </c>
      <c r="C31" s="22">
        <v>2.4</v>
      </c>
      <c r="D31" s="22">
        <v>3.8</v>
      </c>
      <c r="E31" s="22">
        <v>1.1000000000000001</v>
      </c>
      <c r="F31" s="22" t="s">
        <v>1</v>
      </c>
      <c r="G31" s="19" t="s">
        <v>8</v>
      </c>
      <c r="H31" s="69" t="s">
        <v>8</v>
      </c>
      <c r="I31" s="20" t="s">
        <v>9</v>
      </c>
      <c r="J31" s="30" t="s">
        <v>9</v>
      </c>
    </row>
    <row r="32" spans="2:10">
      <c r="B32" s="31">
        <v>5.5</v>
      </c>
      <c r="C32" s="18">
        <v>2.4</v>
      </c>
      <c r="D32" s="18">
        <v>3.7</v>
      </c>
      <c r="E32" s="18">
        <v>1</v>
      </c>
      <c r="F32" s="18" t="s">
        <v>1</v>
      </c>
      <c r="G32" s="19" t="s">
        <v>8</v>
      </c>
      <c r="H32" s="69" t="s">
        <v>8</v>
      </c>
      <c r="I32" s="20" t="s">
        <v>9</v>
      </c>
      <c r="J32" s="30" t="s">
        <v>9</v>
      </c>
    </row>
    <row r="33" spans="2:10">
      <c r="B33" s="31">
        <v>5.5</v>
      </c>
      <c r="C33" s="18">
        <v>2.5</v>
      </c>
      <c r="D33" s="18">
        <v>4</v>
      </c>
      <c r="E33" s="18">
        <v>1.3</v>
      </c>
      <c r="F33" s="18" t="s">
        <v>1</v>
      </c>
      <c r="G33" s="19" t="s">
        <v>8</v>
      </c>
      <c r="H33" s="69" t="s">
        <v>8</v>
      </c>
      <c r="I33" s="20" t="s">
        <v>9</v>
      </c>
      <c r="J33" s="30" t="s">
        <v>9</v>
      </c>
    </row>
    <row r="34" spans="2:10">
      <c r="B34" s="29">
        <v>5.5</v>
      </c>
      <c r="C34" s="22">
        <v>2.6</v>
      </c>
      <c r="D34" s="22">
        <v>4.4000000000000004</v>
      </c>
      <c r="E34" s="22">
        <v>1.2</v>
      </c>
      <c r="F34" s="22" t="s">
        <v>1</v>
      </c>
      <c r="G34" s="19" t="s">
        <v>8</v>
      </c>
      <c r="H34" s="69" t="s">
        <v>8</v>
      </c>
      <c r="I34" s="20" t="s">
        <v>9</v>
      </c>
      <c r="J34" s="30" t="s">
        <v>9</v>
      </c>
    </row>
    <row r="35" spans="2:10">
      <c r="B35" s="31">
        <v>5</v>
      </c>
      <c r="C35" s="18">
        <v>2.2999999999999998</v>
      </c>
      <c r="D35" s="18">
        <v>3.3</v>
      </c>
      <c r="E35" s="18">
        <v>1</v>
      </c>
      <c r="F35" s="18" t="s">
        <v>1</v>
      </c>
      <c r="G35" s="19" t="s">
        <v>8</v>
      </c>
      <c r="H35" s="69" t="s">
        <v>8</v>
      </c>
      <c r="I35" s="20" t="s">
        <v>9</v>
      </c>
      <c r="J35" s="30" t="s">
        <v>9</v>
      </c>
    </row>
    <row r="36" spans="2:10">
      <c r="B36" s="29">
        <v>5.0999999999999996</v>
      </c>
      <c r="C36" s="22">
        <v>2.5</v>
      </c>
      <c r="D36" s="22">
        <v>3</v>
      </c>
      <c r="E36" s="22">
        <v>1.1000000000000001</v>
      </c>
      <c r="F36" s="22" t="s">
        <v>1</v>
      </c>
      <c r="G36" s="19" t="s">
        <v>8</v>
      </c>
      <c r="H36" s="69" t="s">
        <v>8</v>
      </c>
      <c r="I36" s="20" t="s">
        <v>9</v>
      </c>
      <c r="J36" s="30" t="s">
        <v>9</v>
      </c>
    </row>
    <row r="37" spans="2:10">
      <c r="B37" s="32">
        <v>4.9000000000000004</v>
      </c>
      <c r="C37" s="33">
        <v>2.5</v>
      </c>
      <c r="D37" s="33">
        <v>4.5</v>
      </c>
      <c r="E37" s="33">
        <v>1.7</v>
      </c>
      <c r="F37" s="33" t="s">
        <v>2</v>
      </c>
      <c r="G37" s="35" t="s">
        <v>8</v>
      </c>
      <c r="H37" s="68" t="s">
        <v>8</v>
      </c>
      <c r="I37" s="36" t="s">
        <v>9</v>
      </c>
      <c r="J37" s="37" t="s">
        <v>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227D-951D-40BF-BB51-0A518E7B1B3A}">
  <dimension ref="B2:J32"/>
  <sheetViews>
    <sheetView workbookViewId="0">
      <selection activeCell="B13" sqref="B13"/>
    </sheetView>
  </sheetViews>
  <sheetFormatPr baseColWidth="10" defaultRowHeight="15"/>
  <cols>
    <col min="2" max="2" width="18.7109375" customWidth="1"/>
    <col min="3" max="3" width="17" customWidth="1"/>
    <col min="4" max="4" width="18.7109375" customWidth="1"/>
    <col min="5" max="5" width="16.85546875" customWidth="1"/>
    <col min="7" max="7" width="19.7109375" customWidth="1"/>
    <col min="8" max="8" width="18" customWidth="1"/>
    <col min="9" max="9" width="19.7109375" customWidth="1"/>
    <col min="10" max="10" width="17.85546875" customWidth="1"/>
    <col min="13" max="13" width="18.7109375" customWidth="1"/>
    <col min="14" max="14" width="17" customWidth="1"/>
    <col min="15" max="15" width="18.7109375" customWidth="1"/>
    <col min="16" max="16" width="16.85546875" customWidth="1"/>
    <col min="18" max="18" width="19.7109375" customWidth="1"/>
    <col min="19" max="19" width="18" customWidth="1"/>
    <col min="20" max="20" width="19.7109375" customWidth="1"/>
    <col min="21" max="21" width="17.85546875" customWidth="1"/>
  </cols>
  <sheetData>
    <row r="2" spans="2:10">
      <c r="B2" s="44" t="s">
        <v>28</v>
      </c>
      <c r="C2" s="50" t="s">
        <v>29</v>
      </c>
      <c r="D2" s="50" t="s">
        <v>30</v>
      </c>
      <c r="E2" s="50" t="s">
        <v>31</v>
      </c>
      <c r="F2" s="50" t="s">
        <v>24</v>
      </c>
      <c r="G2" s="50" t="s">
        <v>32</v>
      </c>
      <c r="H2" s="50" t="s">
        <v>33</v>
      </c>
      <c r="I2" s="50" t="s">
        <v>34</v>
      </c>
      <c r="J2" s="43" t="s">
        <v>35</v>
      </c>
    </row>
    <row r="3" spans="2:10">
      <c r="B3" s="29">
        <v>6.9</v>
      </c>
      <c r="C3" s="22">
        <v>3.1</v>
      </c>
      <c r="D3" s="22">
        <v>4.9000000000000004</v>
      </c>
      <c r="E3" s="22">
        <v>1.5</v>
      </c>
      <c r="F3" s="22" t="s">
        <v>1</v>
      </c>
      <c r="G3" s="18" t="s">
        <v>10</v>
      </c>
      <c r="H3" s="18" t="s">
        <v>9</v>
      </c>
      <c r="I3" s="61" t="s">
        <v>10</v>
      </c>
      <c r="J3" s="62" t="s">
        <v>9</v>
      </c>
    </row>
    <row r="4" spans="2:10">
      <c r="B4" s="29">
        <v>6.3</v>
      </c>
      <c r="C4" s="22">
        <v>2.5</v>
      </c>
      <c r="D4" s="22">
        <v>4.9000000000000004</v>
      </c>
      <c r="E4" s="22">
        <v>1.5</v>
      </c>
      <c r="F4" s="22" t="s">
        <v>1</v>
      </c>
      <c r="G4" s="18" t="s">
        <v>9</v>
      </c>
      <c r="H4" s="18" t="s">
        <v>8</v>
      </c>
      <c r="I4" s="61" t="s">
        <v>10</v>
      </c>
      <c r="J4" s="62" t="s">
        <v>9</v>
      </c>
    </row>
    <row r="5" spans="2:10">
      <c r="B5" s="31">
        <v>6.7</v>
      </c>
      <c r="C5" s="18">
        <v>3</v>
      </c>
      <c r="D5" s="18">
        <v>5</v>
      </c>
      <c r="E5" s="18">
        <v>1.7</v>
      </c>
      <c r="F5" s="18" t="s">
        <v>1</v>
      </c>
      <c r="G5" s="18" t="s">
        <v>10</v>
      </c>
      <c r="H5" s="18" t="s">
        <v>9</v>
      </c>
      <c r="I5" s="61" t="s">
        <v>10</v>
      </c>
      <c r="J5" s="62" t="s">
        <v>9</v>
      </c>
    </row>
    <row r="6" spans="2:10">
      <c r="B6" s="31">
        <v>6</v>
      </c>
      <c r="C6" s="18">
        <v>2.7</v>
      </c>
      <c r="D6" s="18">
        <v>5.0999999999999996</v>
      </c>
      <c r="E6" s="18">
        <v>1.6</v>
      </c>
      <c r="F6" s="18" t="s">
        <v>1</v>
      </c>
      <c r="G6" s="18" t="s">
        <v>9</v>
      </c>
      <c r="H6" s="18" t="s">
        <v>8</v>
      </c>
      <c r="I6" s="61" t="s">
        <v>10</v>
      </c>
      <c r="J6" s="62" t="s">
        <v>9</v>
      </c>
    </row>
    <row r="7" spans="2:10">
      <c r="B7" s="29">
        <v>6</v>
      </c>
      <c r="C7" s="22">
        <v>2.2000000000000002</v>
      </c>
      <c r="D7" s="22">
        <v>5</v>
      </c>
      <c r="E7" s="22">
        <v>1.5</v>
      </c>
      <c r="F7" s="22" t="s">
        <v>2</v>
      </c>
      <c r="G7" s="23" t="s">
        <v>9</v>
      </c>
      <c r="H7" s="23" t="s">
        <v>8</v>
      </c>
      <c r="I7" s="61" t="s">
        <v>10</v>
      </c>
      <c r="J7" s="62" t="s">
        <v>9</v>
      </c>
    </row>
    <row r="8" spans="2:10">
      <c r="B8" s="29">
        <v>7.2</v>
      </c>
      <c r="C8" s="22">
        <v>3</v>
      </c>
      <c r="D8" s="22">
        <v>5.8</v>
      </c>
      <c r="E8" s="22">
        <v>1.6</v>
      </c>
      <c r="F8" s="22" t="s">
        <v>2</v>
      </c>
      <c r="G8" s="23" t="s">
        <v>10</v>
      </c>
      <c r="H8" s="23" t="s">
        <v>9</v>
      </c>
      <c r="I8" s="61" t="s">
        <v>10</v>
      </c>
      <c r="J8" s="62" t="s">
        <v>9</v>
      </c>
    </row>
    <row r="9" spans="2:10">
      <c r="B9" s="29">
        <v>6.3</v>
      </c>
      <c r="C9" s="22">
        <v>2.8</v>
      </c>
      <c r="D9" s="22">
        <v>5.0999999999999996</v>
      </c>
      <c r="E9" s="22">
        <v>1.5</v>
      </c>
      <c r="F9" s="22" t="s">
        <v>2</v>
      </c>
      <c r="G9" s="23" t="s">
        <v>9</v>
      </c>
      <c r="H9" s="23" t="s">
        <v>8</v>
      </c>
      <c r="I9" s="61" t="s">
        <v>10</v>
      </c>
      <c r="J9" s="62" t="s">
        <v>9</v>
      </c>
    </row>
    <row r="10" spans="2:10">
      <c r="B10" s="32">
        <v>6.1</v>
      </c>
      <c r="C10" s="33">
        <v>2.6</v>
      </c>
      <c r="D10" s="33">
        <v>5.6</v>
      </c>
      <c r="E10" s="33">
        <v>1.4</v>
      </c>
      <c r="F10" s="33" t="s">
        <v>2</v>
      </c>
      <c r="G10" s="34" t="s">
        <v>9</v>
      </c>
      <c r="H10" s="34" t="s">
        <v>8</v>
      </c>
      <c r="I10" s="63" t="s">
        <v>10</v>
      </c>
      <c r="J10" s="64" t="s">
        <v>9</v>
      </c>
    </row>
    <row r="15" spans="2:10">
      <c r="D15" s="14" t="s">
        <v>15</v>
      </c>
      <c r="E15" s="12">
        <v>1</v>
      </c>
      <c r="G15" s="15" t="s">
        <v>19</v>
      </c>
      <c r="H15" s="13">
        <v>4.9500000000000002E-2</v>
      </c>
    </row>
    <row r="19" spans="2:10">
      <c r="B19" s="49" t="s">
        <v>16</v>
      </c>
      <c r="C19" s="49">
        <v>0.91800000000000004</v>
      </c>
    </row>
    <row r="20" spans="2:10">
      <c r="B20" s="76" t="s">
        <v>28</v>
      </c>
      <c r="C20" s="77" t="s">
        <v>29</v>
      </c>
      <c r="D20" s="77" t="s">
        <v>30</v>
      </c>
      <c r="E20" s="77" t="s">
        <v>31</v>
      </c>
      <c r="F20" s="77" t="s">
        <v>24</v>
      </c>
      <c r="G20" s="77" t="s">
        <v>32</v>
      </c>
      <c r="H20" s="77" t="s">
        <v>33</v>
      </c>
      <c r="I20" s="77" t="s">
        <v>34</v>
      </c>
      <c r="J20" s="78" t="s">
        <v>35</v>
      </c>
    </row>
    <row r="21" spans="2:10">
      <c r="B21" s="29">
        <v>6.9</v>
      </c>
      <c r="C21" s="22">
        <v>3.1</v>
      </c>
      <c r="D21" s="22">
        <v>4.9000000000000004</v>
      </c>
      <c r="E21" s="22">
        <v>1.5</v>
      </c>
      <c r="F21" s="22" t="s">
        <v>1</v>
      </c>
      <c r="G21" s="59" t="s">
        <v>10</v>
      </c>
      <c r="H21" s="18" t="s">
        <v>9</v>
      </c>
      <c r="I21" s="61" t="s">
        <v>10</v>
      </c>
      <c r="J21" s="62" t="s">
        <v>9</v>
      </c>
    </row>
    <row r="22" spans="2:10">
      <c r="B22" s="31">
        <v>6.7</v>
      </c>
      <c r="C22" s="18">
        <v>3</v>
      </c>
      <c r="D22" s="18">
        <v>5</v>
      </c>
      <c r="E22" s="18">
        <v>1.7</v>
      </c>
      <c r="F22" s="18" t="s">
        <v>1</v>
      </c>
      <c r="G22" s="59" t="s">
        <v>10</v>
      </c>
      <c r="H22" s="18" t="s">
        <v>9</v>
      </c>
      <c r="I22" s="61" t="s">
        <v>10</v>
      </c>
      <c r="J22" s="62" t="s">
        <v>9</v>
      </c>
    </row>
    <row r="23" spans="2:10">
      <c r="B23" s="32">
        <v>7.2</v>
      </c>
      <c r="C23" s="33">
        <v>3</v>
      </c>
      <c r="D23" s="33">
        <v>5.8</v>
      </c>
      <c r="E23" s="33">
        <v>1.6</v>
      </c>
      <c r="F23" s="33" t="s">
        <v>2</v>
      </c>
      <c r="G23" s="60" t="s">
        <v>10</v>
      </c>
      <c r="H23" s="34" t="s">
        <v>9</v>
      </c>
      <c r="I23" s="63" t="s">
        <v>10</v>
      </c>
      <c r="J23" s="64" t="s">
        <v>9</v>
      </c>
    </row>
    <row r="26" spans="2:10">
      <c r="B26" s="58" t="s">
        <v>17</v>
      </c>
      <c r="C26" s="58">
        <v>0.97</v>
      </c>
    </row>
    <row r="27" spans="2:10">
      <c r="B27" s="26" t="s">
        <v>28</v>
      </c>
      <c r="C27" s="27" t="s">
        <v>29</v>
      </c>
      <c r="D27" s="27" t="s">
        <v>30</v>
      </c>
      <c r="E27" s="27" t="s">
        <v>31</v>
      </c>
      <c r="F27" s="27" t="s">
        <v>24</v>
      </c>
      <c r="G27" s="27" t="s">
        <v>32</v>
      </c>
      <c r="H27" s="27" t="s">
        <v>33</v>
      </c>
      <c r="I27" s="27" t="s">
        <v>34</v>
      </c>
      <c r="J27" s="28" t="s">
        <v>35</v>
      </c>
    </row>
    <row r="28" spans="2:10">
      <c r="B28" s="29">
        <v>6.3</v>
      </c>
      <c r="C28" s="22">
        <v>2.5</v>
      </c>
      <c r="D28" s="22">
        <v>4.9000000000000004</v>
      </c>
      <c r="E28" s="22">
        <v>1.5</v>
      </c>
      <c r="F28" s="22" t="s">
        <v>1</v>
      </c>
      <c r="G28" s="59" t="s">
        <v>9</v>
      </c>
      <c r="H28" s="18" t="s">
        <v>8</v>
      </c>
      <c r="I28" s="61" t="s">
        <v>10</v>
      </c>
      <c r="J28" s="62" t="s">
        <v>9</v>
      </c>
    </row>
    <row r="29" spans="2:10">
      <c r="B29" s="31">
        <v>6</v>
      </c>
      <c r="C29" s="18">
        <v>2.7</v>
      </c>
      <c r="D29" s="18">
        <v>5.0999999999999996</v>
      </c>
      <c r="E29" s="18">
        <v>1.6</v>
      </c>
      <c r="F29" s="18" t="s">
        <v>1</v>
      </c>
      <c r="G29" s="59" t="s">
        <v>9</v>
      </c>
      <c r="H29" s="18" t="s">
        <v>8</v>
      </c>
      <c r="I29" s="61" t="s">
        <v>10</v>
      </c>
      <c r="J29" s="62" t="s">
        <v>9</v>
      </c>
    </row>
    <row r="30" spans="2:10">
      <c r="B30" s="29">
        <v>6</v>
      </c>
      <c r="C30" s="22">
        <v>2.2000000000000002</v>
      </c>
      <c r="D30" s="22">
        <v>5</v>
      </c>
      <c r="E30" s="22">
        <v>1.5</v>
      </c>
      <c r="F30" s="22" t="s">
        <v>2</v>
      </c>
      <c r="G30" s="59" t="s">
        <v>9</v>
      </c>
      <c r="H30" s="23" t="s">
        <v>8</v>
      </c>
      <c r="I30" s="61" t="s">
        <v>10</v>
      </c>
      <c r="J30" s="62" t="s">
        <v>9</v>
      </c>
    </row>
    <row r="31" spans="2:10">
      <c r="B31" s="29">
        <v>6.3</v>
      </c>
      <c r="C31" s="22">
        <v>2.8</v>
      </c>
      <c r="D31" s="22">
        <v>5.0999999999999996</v>
      </c>
      <c r="E31" s="22">
        <v>1.5</v>
      </c>
      <c r="F31" s="22" t="s">
        <v>2</v>
      </c>
      <c r="G31" s="59" t="s">
        <v>9</v>
      </c>
      <c r="H31" s="23" t="s">
        <v>8</v>
      </c>
      <c r="I31" s="61" t="s">
        <v>10</v>
      </c>
      <c r="J31" s="62" t="s">
        <v>9</v>
      </c>
    </row>
    <row r="32" spans="2:10">
      <c r="B32" s="32">
        <v>6.1</v>
      </c>
      <c r="C32" s="33">
        <v>2.6</v>
      </c>
      <c r="D32" s="33">
        <v>5.6</v>
      </c>
      <c r="E32" s="33">
        <v>1.4</v>
      </c>
      <c r="F32" s="33" t="s">
        <v>2</v>
      </c>
      <c r="G32" s="60" t="s">
        <v>9</v>
      </c>
      <c r="H32" s="34" t="s">
        <v>8</v>
      </c>
      <c r="I32" s="63" t="s">
        <v>10</v>
      </c>
      <c r="J32" s="64" t="s">
        <v>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02CC-580D-4772-A442-0439F1E5D676}">
  <dimension ref="B2:J32"/>
  <sheetViews>
    <sheetView workbookViewId="0">
      <selection activeCell="M17" sqref="M17"/>
    </sheetView>
  </sheetViews>
  <sheetFormatPr baseColWidth="10" defaultRowHeight="15"/>
  <cols>
    <col min="2" max="2" width="18.7109375" customWidth="1"/>
    <col min="3" max="3" width="17" customWidth="1"/>
    <col min="4" max="4" width="18.7109375" customWidth="1"/>
    <col min="5" max="5" width="16.85546875" customWidth="1"/>
    <col min="7" max="7" width="19.7109375" customWidth="1"/>
    <col min="8" max="8" width="18" customWidth="1"/>
    <col min="9" max="9" width="19.7109375" customWidth="1"/>
    <col min="10" max="10" width="17.85546875" customWidth="1"/>
    <col min="13" max="13" width="18.7109375" customWidth="1"/>
    <col min="14" max="14" width="17" customWidth="1"/>
    <col min="15" max="15" width="18.7109375" customWidth="1"/>
    <col min="16" max="16" width="16.85546875" customWidth="1"/>
    <col min="18" max="18" width="19.7109375" customWidth="1"/>
    <col min="19" max="19" width="18" customWidth="1"/>
    <col min="20" max="20" width="19.7109375" customWidth="1"/>
    <col min="21" max="21" width="17.85546875" customWidth="1"/>
  </cols>
  <sheetData>
    <row r="2" spans="2:10">
      <c r="B2" s="44" t="s">
        <v>28</v>
      </c>
      <c r="C2" s="50" t="s">
        <v>29</v>
      </c>
      <c r="D2" s="50" t="s">
        <v>30</v>
      </c>
      <c r="E2" s="50" t="s">
        <v>31</v>
      </c>
      <c r="F2" s="50" t="s">
        <v>24</v>
      </c>
      <c r="G2" s="50" t="s">
        <v>32</v>
      </c>
      <c r="H2" s="50" t="s">
        <v>33</v>
      </c>
      <c r="I2" s="50" t="s">
        <v>34</v>
      </c>
      <c r="J2" s="43" t="s">
        <v>35</v>
      </c>
    </row>
    <row r="3" spans="2:10">
      <c r="B3" s="29">
        <v>6.9</v>
      </c>
      <c r="C3" s="22">
        <v>3.1</v>
      </c>
      <c r="D3" s="22">
        <v>4.9000000000000004</v>
      </c>
      <c r="E3" s="22">
        <v>1.5</v>
      </c>
      <c r="F3" s="22" t="s">
        <v>1</v>
      </c>
      <c r="G3" s="18" t="s">
        <v>10</v>
      </c>
      <c r="H3" s="18" t="s">
        <v>9</v>
      </c>
      <c r="I3" s="52" t="s">
        <v>10</v>
      </c>
      <c r="J3" s="53" t="s">
        <v>9</v>
      </c>
    </row>
    <row r="4" spans="2:10">
      <c r="B4" s="29">
        <v>6.3</v>
      </c>
      <c r="C4" s="22">
        <v>2.5</v>
      </c>
      <c r="D4" s="22">
        <v>4.9000000000000004</v>
      </c>
      <c r="E4" s="22">
        <v>1.5</v>
      </c>
      <c r="F4" s="22" t="s">
        <v>1</v>
      </c>
      <c r="G4" s="18" t="s">
        <v>9</v>
      </c>
      <c r="H4" s="18" t="s">
        <v>8</v>
      </c>
      <c r="I4" s="52" t="s">
        <v>10</v>
      </c>
      <c r="J4" s="53" t="s">
        <v>9</v>
      </c>
    </row>
    <row r="5" spans="2:10">
      <c r="B5" s="31">
        <v>6.7</v>
      </c>
      <c r="C5" s="18">
        <v>3</v>
      </c>
      <c r="D5" s="18">
        <v>5</v>
      </c>
      <c r="E5" s="18">
        <v>1.7</v>
      </c>
      <c r="F5" s="18" t="s">
        <v>1</v>
      </c>
      <c r="G5" s="18" t="s">
        <v>10</v>
      </c>
      <c r="H5" s="18" t="s">
        <v>9</v>
      </c>
      <c r="I5" s="52" t="s">
        <v>10</v>
      </c>
      <c r="J5" s="53" t="s">
        <v>9</v>
      </c>
    </row>
    <row r="6" spans="2:10">
      <c r="B6" s="31">
        <v>6</v>
      </c>
      <c r="C6" s="18">
        <v>2.7</v>
      </c>
      <c r="D6" s="18">
        <v>5.0999999999999996</v>
      </c>
      <c r="E6" s="18">
        <v>1.6</v>
      </c>
      <c r="F6" s="18" t="s">
        <v>1</v>
      </c>
      <c r="G6" s="18" t="s">
        <v>9</v>
      </c>
      <c r="H6" s="18" t="s">
        <v>8</v>
      </c>
      <c r="I6" s="52" t="s">
        <v>10</v>
      </c>
      <c r="J6" s="53" t="s">
        <v>9</v>
      </c>
    </row>
    <row r="7" spans="2:10">
      <c r="B7" s="29">
        <v>6</v>
      </c>
      <c r="C7" s="22">
        <v>2.2000000000000002</v>
      </c>
      <c r="D7" s="22">
        <v>5</v>
      </c>
      <c r="E7" s="22">
        <v>1.5</v>
      </c>
      <c r="F7" s="22" t="s">
        <v>2</v>
      </c>
      <c r="G7" s="23" t="s">
        <v>9</v>
      </c>
      <c r="H7" s="23" t="s">
        <v>8</v>
      </c>
      <c r="I7" s="52" t="s">
        <v>10</v>
      </c>
      <c r="J7" s="53" t="s">
        <v>9</v>
      </c>
    </row>
    <row r="8" spans="2:10">
      <c r="B8" s="29">
        <v>7.2</v>
      </c>
      <c r="C8" s="22">
        <v>3</v>
      </c>
      <c r="D8" s="22">
        <v>5.8</v>
      </c>
      <c r="E8" s="22">
        <v>1.6</v>
      </c>
      <c r="F8" s="22" t="s">
        <v>2</v>
      </c>
      <c r="G8" s="23" t="s">
        <v>10</v>
      </c>
      <c r="H8" s="23" t="s">
        <v>9</v>
      </c>
      <c r="I8" s="52" t="s">
        <v>10</v>
      </c>
      <c r="J8" s="53" t="s">
        <v>9</v>
      </c>
    </row>
    <row r="9" spans="2:10">
      <c r="B9" s="29">
        <v>6.3</v>
      </c>
      <c r="C9" s="22">
        <v>2.8</v>
      </c>
      <c r="D9" s="22">
        <v>5.0999999999999996</v>
      </c>
      <c r="E9" s="22">
        <v>1.5</v>
      </c>
      <c r="F9" s="22" t="s">
        <v>2</v>
      </c>
      <c r="G9" s="23" t="s">
        <v>9</v>
      </c>
      <c r="H9" s="23" t="s">
        <v>8</v>
      </c>
      <c r="I9" s="52" t="s">
        <v>10</v>
      </c>
      <c r="J9" s="53" t="s">
        <v>9</v>
      </c>
    </row>
    <row r="10" spans="2:10">
      <c r="B10" s="32">
        <v>6.1</v>
      </c>
      <c r="C10" s="33">
        <v>2.6</v>
      </c>
      <c r="D10" s="33">
        <v>5.6</v>
      </c>
      <c r="E10" s="33">
        <v>1.4</v>
      </c>
      <c r="F10" s="33" t="s">
        <v>2</v>
      </c>
      <c r="G10" s="34" t="s">
        <v>9</v>
      </c>
      <c r="H10" s="34" t="s">
        <v>8</v>
      </c>
      <c r="I10" s="55" t="s">
        <v>10</v>
      </c>
      <c r="J10" s="56" t="s">
        <v>9</v>
      </c>
    </row>
    <row r="15" spans="2:10">
      <c r="D15" s="14" t="s">
        <v>15</v>
      </c>
      <c r="E15" s="12">
        <v>1</v>
      </c>
      <c r="G15" s="15" t="s">
        <v>19</v>
      </c>
      <c r="H15" s="13">
        <v>4.9500000000000002E-2</v>
      </c>
    </row>
    <row r="19" spans="2:10">
      <c r="B19" s="48" t="s">
        <v>17</v>
      </c>
      <c r="C19" s="49">
        <v>0.91800000000000004</v>
      </c>
    </row>
    <row r="20" spans="2:10">
      <c r="B20" s="44" t="s">
        <v>28</v>
      </c>
      <c r="C20" s="50" t="s">
        <v>29</v>
      </c>
      <c r="D20" s="50" t="s">
        <v>30</v>
      </c>
      <c r="E20" s="50" t="s">
        <v>31</v>
      </c>
      <c r="F20" s="50" t="s">
        <v>24</v>
      </c>
      <c r="G20" s="50" t="s">
        <v>32</v>
      </c>
      <c r="H20" s="50" t="s">
        <v>33</v>
      </c>
      <c r="I20" s="50" t="s">
        <v>34</v>
      </c>
      <c r="J20" s="43" t="s">
        <v>35</v>
      </c>
    </row>
    <row r="21" spans="2:10">
      <c r="B21" s="29">
        <v>6.9</v>
      </c>
      <c r="C21" s="22">
        <v>3.1</v>
      </c>
      <c r="D21" s="22">
        <v>4.9000000000000004</v>
      </c>
      <c r="E21" s="22">
        <v>1.5</v>
      </c>
      <c r="F21" s="22" t="s">
        <v>1</v>
      </c>
      <c r="G21" s="18" t="s">
        <v>10</v>
      </c>
      <c r="H21" s="51" t="s">
        <v>9</v>
      </c>
      <c r="I21" s="52" t="s">
        <v>10</v>
      </c>
      <c r="J21" s="53" t="s">
        <v>9</v>
      </c>
    </row>
    <row r="22" spans="2:10">
      <c r="B22" s="31">
        <v>6.7</v>
      </c>
      <c r="C22" s="18">
        <v>3</v>
      </c>
      <c r="D22" s="18">
        <v>5</v>
      </c>
      <c r="E22" s="18">
        <v>1.7</v>
      </c>
      <c r="F22" s="18" t="s">
        <v>1</v>
      </c>
      <c r="G22" s="18" t="s">
        <v>10</v>
      </c>
      <c r="H22" s="51" t="s">
        <v>9</v>
      </c>
      <c r="I22" s="52" t="s">
        <v>10</v>
      </c>
      <c r="J22" s="53" t="s">
        <v>9</v>
      </c>
    </row>
    <row r="23" spans="2:10">
      <c r="B23" s="32">
        <v>7.2</v>
      </c>
      <c r="C23" s="33">
        <v>3</v>
      </c>
      <c r="D23" s="33">
        <v>5.8</v>
      </c>
      <c r="E23" s="33">
        <v>1.6</v>
      </c>
      <c r="F23" s="33" t="s">
        <v>2</v>
      </c>
      <c r="G23" s="34" t="s">
        <v>10</v>
      </c>
      <c r="H23" s="54" t="s">
        <v>9</v>
      </c>
      <c r="I23" s="55" t="s">
        <v>10</v>
      </c>
      <c r="J23" s="56" t="s">
        <v>9</v>
      </c>
    </row>
    <row r="26" spans="2:10">
      <c r="B26" s="57" t="s">
        <v>18</v>
      </c>
      <c r="C26" s="58">
        <v>0.97</v>
      </c>
    </row>
    <row r="27" spans="2:10">
      <c r="B27" s="73" t="s">
        <v>28</v>
      </c>
      <c r="C27" s="74" t="s">
        <v>29</v>
      </c>
      <c r="D27" s="74" t="s">
        <v>30</v>
      </c>
      <c r="E27" s="74" t="s">
        <v>31</v>
      </c>
      <c r="F27" s="74" t="s">
        <v>24</v>
      </c>
      <c r="G27" s="74" t="s">
        <v>37</v>
      </c>
      <c r="H27" s="74" t="s">
        <v>33</v>
      </c>
      <c r="I27" s="74" t="s">
        <v>34</v>
      </c>
      <c r="J27" s="75" t="s">
        <v>35</v>
      </c>
    </row>
    <row r="28" spans="2:10">
      <c r="B28" s="29">
        <v>6.3</v>
      </c>
      <c r="C28" s="22">
        <v>2.5</v>
      </c>
      <c r="D28" s="22">
        <v>4.9000000000000004</v>
      </c>
      <c r="E28" s="22">
        <v>1.5</v>
      </c>
      <c r="F28" s="22" t="s">
        <v>1</v>
      </c>
      <c r="G28" s="18" t="s">
        <v>9</v>
      </c>
      <c r="H28" s="59" t="s">
        <v>8</v>
      </c>
      <c r="I28" s="52" t="s">
        <v>10</v>
      </c>
      <c r="J28" s="53" t="s">
        <v>9</v>
      </c>
    </row>
    <row r="29" spans="2:10">
      <c r="B29" s="31">
        <v>6</v>
      </c>
      <c r="C29" s="18">
        <v>2.7</v>
      </c>
      <c r="D29" s="18">
        <v>5.0999999999999996</v>
      </c>
      <c r="E29" s="18">
        <v>1.6</v>
      </c>
      <c r="F29" s="18" t="s">
        <v>1</v>
      </c>
      <c r="G29" s="18" t="s">
        <v>9</v>
      </c>
      <c r="H29" s="59" t="s">
        <v>8</v>
      </c>
      <c r="I29" s="52" t="s">
        <v>10</v>
      </c>
      <c r="J29" s="53" t="s">
        <v>9</v>
      </c>
    </row>
    <row r="30" spans="2:10">
      <c r="B30" s="29">
        <v>6</v>
      </c>
      <c r="C30" s="22">
        <v>2.2000000000000002</v>
      </c>
      <c r="D30" s="22">
        <v>5</v>
      </c>
      <c r="E30" s="22">
        <v>1.5</v>
      </c>
      <c r="F30" s="22" t="s">
        <v>2</v>
      </c>
      <c r="G30" s="23" t="s">
        <v>9</v>
      </c>
      <c r="H30" s="59" t="s">
        <v>8</v>
      </c>
      <c r="I30" s="52" t="s">
        <v>10</v>
      </c>
      <c r="J30" s="53" t="s">
        <v>9</v>
      </c>
    </row>
    <row r="31" spans="2:10">
      <c r="B31" s="29">
        <v>6.3</v>
      </c>
      <c r="C31" s="22">
        <v>2.8</v>
      </c>
      <c r="D31" s="22">
        <v>5.0999999999999996</v>
      </c>
      <c r="E31" s="22">
        <v>1.5</v>
      </c>
      <c r="F31" s="22" t="s">
        <v>2</v>
      </c>
      <c r="G31" s="23" t="s">
        <v>9</v>
      </c>
      <c r="H31" s="59" t="s">
        <v>8</v>
      </c>
      <c r="I31" s="52" t="s">
        <v>10</v>
      </c>
      <c r="J31" s="53" t="s">
        <v>9</v>
      </c>
    </row>
    <row r="32" spans="2:10">
      <c r="B32" s="32">
        <v>6.1</v>
      </c>
      <c r="C32" s="33">
        <v>2.6</v>
      </c>
      <c r="D32" s="33">
        <v>5.6</v>
      </c>
      <c r="E32" s="33">
        <v>1.4</v>
      </c>
      <c r="F32" s="33" t="s">
        <v>2</v>
      </c>
      <c r="G32" s="34" t="s">
        <v>9</v>
      </c>
      <c r="H32" s="60" t="s">
        <v>8</v>
      </c>
      <c r="I32" s="55" t="s">
        <v>10</v>
      </c>
      <c r="J32" s="56" t="s">
        <v>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Iris-Data (1)</vt:lpstr>
      <vt:lpstr>Iris-Data (2)</vt:lpstr>
      <vt:lpstr>Iris-Data (3)</vt:lpstr>
      <vt:lpstr>Iris-Data (4)</vt:lpstr>
      <vt:lpstr>Iris-Data (5)</vt:lpstr>
      <vt:lpstr>Iris-Data (6)</vt:lpstr>
      <vt:lpstr>Iris-Data (7)</vt:lpstr>
      <vt:lpstr>Iris-Data (8)</vt:lpstr>
      <vt:lpstr>Iris-Data (9)</vt:lpstr>
      <vt:lpstr>Iris-Data (10)</vt:lpstr>
      <vt:lpstr>Iris-Data (11)</vt:lpstr>
      <vt:lpstr>Iris-Data (12)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100105791</dc:creator>
  <cp:lastModifiedBy>CHRISTIAN OMAR CEBALLOS HERNANDEZ</cp:lastModifiedBy>
  <cp:lastPrinted>2025-09-02T23:18:11Z</cp:lastPrinted>
  <dcterms:created xsi:type="dcterms:W3CDTF">2025-08-24T07:19:50Z</dcterms:created>
  <dcterms:modified xsi:type="dcterms:W3CDTF">2026-07-03T21:58:28Z</dcterms:modified>
</cp:coreProperties>
</file>